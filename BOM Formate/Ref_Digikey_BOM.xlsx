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Spark-35\Desktop\"/>
    </mc:Choice>
  </mc:AlternateContent>
  <bookViews>
    <workbookView xWindow="-120" yWindow="-120" windowWidth="20730" windowHeight="11160"/>
  </bookViews>
  <sheets>
    <sheet name="Refrence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51" i="1" l="1"/>
  <c r="V57" i="1" l="1"/>
  <c r="V58" i="1"/>
  <c r="T57" i="1"/>
  <c r="T58" i="1"/>
  <c r="R57" i="1"/>
  <c r="R58" i="1"/>
  <c r="P57" i="1"/>
  <c r="P58" i="1"/>
  <c r="M57" i="1"/>
  <c r="M58" i="1"/>
  <c r="L57" i="1"/>
  <c r="L58" i="1"/>
  <c r="K57" i="1"/>
  <c r="K58" i="1"/>
  <c r="L4" i="1" l="1"/>
  <c r="T4" i="1" s="1"/>
  <c r="L5" i="1"/>
  <c r="T5" i="1" s="1"/>
  <c r="L6" i="1"/>
  <c r="T6" i="1" s="1"/>
  <c r="L7" i="1"/>
  <c r="T7" i="1" s="1"/>
  <c r="L8" i="1"/>
  <c r="T8" i="1" s="1"/>
  <c r="L9" i="1"/>
  <c r="T9" i="1" s="1"/>
  <c r="L10" i="1"/>
  <c r="T10" i="1" s="1"/>
  <c r="L11" i="1"/>
  <c r="T11" i="1" s="1"/>
  <c r="L12" i="1"/>
  <c r="T12" i="1" s="1"/>
  <c r="L13" i="1"/>
  <c r="T13" i="1" s="1"/>
  <c r="L14" i="1"/>
  <c r="T14" i="1" s="1"/>
  <c r="L15" i="1"/>
  <c r="T15" i="1" s="1"/>
  <c r="L16" i="1"/>
  <c r="T16" i="1" s="1"/>
  <c r="L17" i="1"/>
  <c r="T17" i="1" s="1"/>
  <c r="L18" i="1"/>
  <c r="T18" i="1" s="1"/>
  <c r="L19" i="1"/>
  <c r="T19" i="1" s="1"/>
  <c r="L20" i="1"/>
  <c r="T20" i="1" s="1"/>
  <c r="L21" i="1"/>
  <c r="T21" i="1" s="1"/>
  <c r="L22" i="1"/>
  <c r="T22" i="1" s="1"/>
  <c r="L23" i="1"/>
  <c r="T23" i="1" s="1"/>
  <c r="L24" i="1"/>
  <c r="T24" i="1" s="1"/>
  <c r="L25" i="1"/>
  <c r="T25" i="1" s="1"/>
  <c r="L26" i="1"/>
  <c r="T26" i="1" s="1"/>
  <c r="L27" i="1"/>
  <c r="T27" i="1" s="1"/>
  <c r="L28" i="1"/>
  <c r="T28" i="1" s="1"/>
  <c r="L29" i="1"/>
  <c r="T29" i="1" s="1"/>
  <c r="L30" i="1"/>
  <c r="T30" i="1" s="1"/>
  <c r="L31" i="1"/>
  <c r="T31" i="1" s="1"/>
  <c r="L32" i="1"/>
  <c r="T32" i="1" s="1"/>
  <c r="L33" i="1"/>
  <c r="T33" i="1" s="1"/>
  <c r="L34" i="1"/>
  <c r="T34" i="1" s="1"/>
  <c r="L35" i="1"/>
  <c r="T35" i="1" s="1"/>
  <c r="L36" i="1"/>
  <c r="T36" i="1" s="1"/>
  <c r="L37" i="1"/>
  <c r="T37" i="1" s="1"/>
  <c r="L38" i="1"/>
  <c r="T38" i="1" s="1"/>
  <c r="L39" i="1"/>
  <c r="T39" i="1" s="1"/>
  <c r="L40" i="1"/>
  <c r="T40" i="1" s="1"/>
  <c r="L41" i="1"/>
  <c r="T41" i="1" s="1"/>
  <c r="L42" i="1"/>
  <c r="T42" i="1" s="1"/>
  <c r="L43" i="1"/>
  <c r="T43" i="1" s="1"/>
  <c r="L44" i="1"/>
  <c r="T44" i="1" s="1"/>
  <c r="L45" i="1"/>
  <c r="T45" i="1" s="1"/>
  <c r="L46" i="1"/>
  <c r="T46" i="1" s="1"/>
  <c r="L47" i="1"/>
  <c r="T47" i="1" s="1"/>
  <c r="L48" i="1"/>
  <c r="T48" i="1" s="1"/>
  <c r="L49" i="1"/>
  <c r="T49" i="1" s="1"/>
  <c r="L50" i="1"/>
  <c r="T50" i="1" s="1"/>
  <c r="L51" i="1"/>
  <c r="T51" i="1" s="1"/>
  <c r="L52" i="1"/>
  <c r="T52" i="1" s="1"/>
  <c r="L53" i="1"/>
  <c r="T53" i="1" s="1"/>
  <c r="L54" i="1"/>
  <c r="T54" i="1" s="1"/>
  <c r="L55" i="1"/>
  <c r="T55" i="1" s="1"/>
  <c r="L56" i="1"/>
  <c r="T56" i="1" s="1"/>
  <c r="L59" i="1"/>
  <c r="T59" i="1" s="1"/>
  <c r="L60" i="1"/>
  <c r="T60" i="1" s="1"/>
  <c r="L61" i="1"/>
  <c r="T61" i="1" s="1"/>
  <c r="L62" i="1"/>
  <c r="T62" i="1" s="1"/>
  <c r="L63" i="1"/>
  <c r="T63" i="1" s="1"/>
  <c r="L3" i="1"/>
  <c r="T3" i="1" s="1"/>
  <c r="K8" i="1"/>
  <c r="M8" i="1"/>
  <c r="V8" i="1" s="1"/>
  <c r="M4" i="1"/>
  <c r="V4" i="1" s="1"/>
  <c r="M5" i="1"/>
  <c r="V5" i="1" s="1"/>
  <c r="M6" i="1"/>
  <c r="V6" i="1" s="1"/>
  <c r="M7" i="1"/>
  <c r="V7" i="1" s="1"/>
  <c r="M9" i="1"/>
  <c r="V9" i="1" s="1"/>
  <c r="M10" i="1"/>
  <c r="V10" i="1" s="1"/>
  <c r="M11" i="1"/>
  <c r="V11" i="1" s="1"/>
  <c r="M12" i="1"/>
  <c r="V12" i="1" s="1"/>
  <c r="M13" i="1"/>
  <c r="V13" i="1" s="1"/>
  <c r="M14" i="1"/>
  <c r="V14" i="1" s="1"/>
  <c r="M15" i="1"/>
  <c r="V15" i="1" s="1"/>
  <c r="M16" i="1"/>
  <c r="V16" i="1" s="1"/>
  <c r="M17" i="1"/>
  <c r="V17" i="1" s="1"/>
  <c r="M18" i="1"/>
  <c r="V18" i="1" s="1"/>
  <c r="M19" i="1"/>
  <c r="V19" i="1" s="1"/>
  <c r="M20" i="1"/>
  <c r="V20" i="1" s="1"/>
  <c r="M21" i="1"/>
  <c r="V21" i="1" s="1"/>
  <c r="M22" i="1"/>
  <c r="V22" i="1" s="1"/>
  <c r="M23" i="1"/>
  <c r="V23" i="1" s="1"/>
  <c r="M24" i="1"/>
  <c r="V24" i="1" s="1"/>
  <c r="M25" i="1"/>
  <c r="V25" i="1" s="1"/>
  <c r="M26" i="1"/>
  <c r="V26" i="1" s="1"/>
  <c r="M27" i="1"/>
  <c r="V27" i="1" s="1"/>
  <c r="M28" i="1"/>
  <c r="V28" i="1" s="1"/>
  <c r="M29" i="1"/>
  <c r="V29" i="1" s="1"/>
  <c r="M30" i="1"/>
  <c r="V30" i="1" s="1"/>
  <c r="M31" i="1"/>
  <c r="V31" i="1" s="1"/>
  <c r="M32" i="1"/>
  <c r="V32" i="1" s="1"/>
  <c r="M33" i="1"/>
  <c r="V33" i="1" s="1"/>
  <c r="M34" i="1"/>
  <c r="V34" i="1" s="1"/>
  <c r="M35" i="1"/>
  <c r="V35" i="1" s="1"/>
  <c r="M36" i="1"/>
  <c r="V36" i="1" s="1"/>
  <c r="M37" i="1"/>
  <c r="V37" i="1" s="1"/>
  <c r="M38" i="1"/>
  <c r="V38" i="1" s="1"/>
  <c r="M39" i="1"/>
  <c r="V39" i="1" s="1"/>
  <c r="M40" i="1"/>
  <c r="V40" i="1" s="1"/>
  <c r="M41" i="1"/>
  <c r="V41" i="1" s="1"/>
  <c r="M42" i="1"/>
  <c r="V42" i="1" s="1"/>
  <c r="M43" i="1"/>
  <c r="V43" i="1" s="1"/>
  <c r="M44" i="1"/>
  <c r="V44" i="1" s="1"/>
  <c r="M45" i="1"/>
  <c r="V45" i="1" s="1"/>
  <c r="M46" i="1"/>
  <c r="V46" i="1" s="1"/>
  <c r="M47" i="1"/>
  <c r="V47" i="1" s="1"/>
  <c r="M48" i="1"/>
  <c r="V48" i="1" s="1"/>
  <c r="M49" i="1"/>
  <c r="V49" i="1" s="1"/>
  <c r="M50" i="1"/>
  <c r="V50" i="1" s="1"/>
  <c r="M51" i="1"/>
  <c r="M52" i="1"/>
  <c r="V52" i="1" s="1"/>
  <c r="M53" i="1"/>
  <c r="V53" i="1" s="1"/>
  <c r="M54" i="1"/>
  <c r="V54" i="1" s="1"/>
  <c r="M55" i="1"/>
  <c r="V55" i="1" s="1"/>
  <c r="M56" i="1"/>
  <c r="V56" i="1" s="1"/>
  <c r="M59" i="1"/>
  <c r="V59" i="1" s="1"/>
  <c r="M60" i="1"/>
  <c r="V60" i="1" s="1"/>
  <c r="M61" i="1"/>
  <c r="V61" i="1" s="1"/>
  <c r="M62" i="1"/>
  <c r="V62" i="1" s="1"/>
  <c r="M63" i="1"/>
  <c r="V63" i="1" s="1"/>
  <c r="M3" i="1"/>
  <c r="V3" i="1" s="1"/>
  <c r="K63" i="1"/>
  <c r="R63" i="1" s="1"/>
  <c r="P63" i="1"/>
  <c r="P62" i="1"/>
  <c r="K62" i="1"/>
  <c r="R62" i="1" s="1"/>
  <c r="K61" i="1"/>
  <c r="R61" i="1" s="1"/>
  <c r="P61" i="1"/>
  <c r="P60" i="1"/>
  <c r="K60" i="1"/>
  <c r="R60" i="1" s="1"/>
  <c r="P56" i="1"/>
  <c r="K56" i="1"/>
  <c r="R56" i="1" s="1"/>
  <c r="P59" i="1"/>
  <c r="K59" i="1"/>
  <c r="R59" i="1" s="1"/>
  <c r="V64" i="1" l="1"/>
  <c r="T64" i="1"/>
  <c r="P53" i="1"/>
  <c r="P19" i="1"/>
  <c r="P42" i="1" l="1"/>
  <c r="P40" i="1" l="1"/>
  <c r="P43" i="1"/>
  <c r="P44" i="1"/>
  <c r="R34" i="1"/>
  <c r="R35" i="1"/>
  <c r="P34" i="1"/>
  <c r="P35" i="1"/>
  <c r="K54" i="1"/>
  <c r="R54" i="1" s="1"/>
  <c r="K44" i="1"/>
  <c r="R44" i="1" s="1"/>
  <c r="K43" i="1"/>
  <c r="R43" i="1" s="1"/>
  <c r="K40" i="1"/>
  <c r="R40" i="1" s="1"/>
  <c r="P52" i="1" l="1"/>
  <c r="K53" i="1"/>
  <c r="R53" i="1" s="1"/>
  <c r="K52" i="1"/>
  <c r="R52" i="1" s="1"/>
  <c r="K42" i="1"/>
  <c r="R42" i="1" s="1"/>
  <c r="K39" i="1"/>
  <c r="R39" i="1" s="1"/>
  <c r="K38" i="1"/>
  <c r="R38" i="1" s="1"/>
  <c r="K37" i="1"/>
  <c r="R37" i="1" s="1"/>
  <c r="P36" i="1"/>
  <c r="P37" i="1"/>
  <c r="P38" i="1"/>
  <c r="P39" i="1"/>
  <c r="K36" i="1"/>
  <c r="R36" i="1" s="1"/>
  <c r="P16" i="1"/>
  <c r="P17" i="1"/>
  <c r="K17" i="1"/>
  <c r="R17" i="1" s="1"/>
  <c r="K16" i="1"/>
  <c r="R16" i="1" s="1"/>
  <c r="K19" i="1"/>
  <c r="R19" i="1" s="1"/>
  <c r="P28" i="1"/>
  <c r="P29" i="1"/>
  <c r="P30" i="1"/>
  <c r="P27" i="1"/>
  <c r="P26" i="1"/>
  <c r="P25" i="1"/>
  <c r="P24" i="1"/>
  <c r="K23" i="1"/>
  <c r="R23" i="1" s="1"/>
  <c r="K24" i="1"/>
  <c r="R24" i="1" s="1"/>
  <c r="K25" i="1"/>
  <c r="R25" i="1" s="1"/>
  <c r="K26" i="1"/>
  <c r="R26" i="1" s="1"/>
  <c r="K27" i="1"/>
  <c r="R27" i="1" s="1"/>
  <c r="K28" i="1"/>
  <c r="R28" i="1" s="1"/>
  <c r="R29" i="1"/>
  <c r="K30" i="1"/>
  <c r="R30" i="1" s="1"/>
  <c r="P23" i="1"/>
  <c r="P15" i="1"/>
  <c r="K15" i="1"/>
  <c r="R15" i="1" s="1"/>
  <c r="P14" i="1"/>
  <c r="K14" i="1"/>
  <c r="R14" i="1" s="1"/>
  <c r="P9" i="1"/>
  <c r="P10" i="1"/>
  <c r="P11" i="1"/>
  <c r="K9" i="1"/>
  <c r="R9" i="1" s="1"/>
  <c r="K10" i="1"/>
  <c r="R10" i="1" s="1"/>
  <c r="P8" i="1"/>
  <c r="K11" i="1"/>
  <c r="R11" i="1" s="1"/>
  <c r="R8" i="1"/>
  <c r="P7" i="1"/>
  <c r="K7" i="1"/>
  <c r="R7" i="1" s="1"/>
  <c r="P6" i="1"/>
  <c r="K6" i="1"/>
  <c r="R6" i="1" s="1"/>
  <c r="P4" i="1" l="1"/>
  <c r="P5" i="1"/>
  <c r="P12" i="1"/>
  <c r="P13" i="1"/>
  <c r="P18" i="1"/>
  <c r="P20" i="1"/>
  <c r="P21" i="1"/>
  <c r="P22" i="1"/>
  <c r="P31" i="1"/>
  <c r="P32" i="1"/>
  <c r="P33" i="1"/>
  <c r="P41" i="1"/>
  <c r="P45" i="1"/>
  <c r="P46" i="1"/>
  <c r="P47" i="1"/>
  <c r="P48" i="1"/>
  <c r="P49" i="1"/>
  <c r="P50" i="1"/>
  <c r="P51" i="1"/>
  <c r="P3" i="1"/>
  <c r="K4" i="1" l="1"/>
  <c r="R4" i="1" s="1"/>
  <c r="K5" i="1"/>
  <c r="R5" i="1" s="1"/>
  <c r="K12" i="1"/>
  <c r="R12" i="1" s="1"/>
  <c r="K13" i="1"/>
  <c r="R13" i="1" s="1"/>
  <c r="K18" i="1"/>
  <c r="R18" i="1" s="1"/>
  <c r="K20" i="1"/>
  <c r="R20" i="1" s="1"/>
  <c r="K21" i="1"/>
  <c r="R21" i="1" s="1"/>
  <c r="K22" i="1"/>
  <c r="R22" i="1" s="1"/>
  <c r="K31" i="1"/>
  <c r="R31" i="1" s="1"/>
  <c r="K32" i="1"/>
  <c r="R32" i="1" s="1"/>
  <c r="K33" i="1"/>
  <c r="R33" i="1" s="1"/>
  <c r="K41" i="1"/>
  <c r="R41" i="1" s="1"/>
  <c r="K45" i="1"/>
  <c r="R45" i="1" s="1"/>
  <c r="K46" i="1"/>
  <c r="R46" i="1" s="1"/>
  <c r="K47" i="1"/>
  <c r="R47" i="1" s="1"/>
  <c r="K48" i="1"/>
  <c r="R48" i="1" s="1"/>
  <c r="K49" i="1"/>
  <c r="R49" i="1" s="1"/>
  <c r="K50" i="1"/>
  <c r="R50" i="1" s="1"/>
  <c r="K51" i="1"/>
  <c r="R51" i="1" s="1"/>
  <c r="K3" i="1"/>
  <c r="R3" i="1" s="1"/>
  <c r="R64" i="1" l="1"/>
  <c r="R65" i="1" s="1"/>
  <c r="Q65" i="1"/>
</calcChain>
</file>

<file path=xl/sharedStrings.xml><?xml version="1.0" encoding="utf-8"?>
<sst xmlns="http://schemas.openxmlformats.org/spreadsheetml/2006/main" count="525" uniqueCount="311">
  <si>
    <t>Description</t>
  </si>
  <si>
    <t>Designator</t>
  </si>
  <si>
    <t>Manufacturer</t>
  </si>
  <si>
    <t>Manufacturer Part Number</t>
  </si>
  <si>
    <t>0.1uF</t>
  </si>
  <si>
    <t>Cap0402</t>
  </si>
  <si>
    <t>C1005X5R1H104K050BB</t>
  </si>
  <si>
    <t>TDK</t>
  </si>
  <si>
    <t>47uF</t>
  </si>
  <si>
    <t>CAP CER 47UF 25V X5R 1206</t>
  </si>
  <si>
    <t>Cap1206</t>
  </si>
  <si>
    <t>C3216X5R1E476M160AC</t>
  </si>
  <si>
    <t>4.7uF</t>
  </si>
  <si>
    <t>33pF</t>
  </si>
  <si>
    <t>CAP CER 33PF 25V C0G/NP0 0402</t>
  </si>
  <si>
    <t>C33, C34, C35</t>
  </si>
  <si>
    <t>GRM1555C1E330JA01D</t>
  </si>
  <si>
    <t>Murata</t>
  </si>
  <si>
    <t>XZVG68W-2</t>
  </si>
  <si>
    <t>LED GREEN CLEAR CHIP SMD</t>
  </si>
  <si>
    <t>LED 0402</t>
  </si>
  <si>
    <t>SunLED</t>
  </si>
  <si>
    <t>DMG1012T-7</t>
  </si>
  <si>
    <t>MOSFET N-CH 20V 630MA SOT523</t>
  </si>
  <si>
    <t>SOT-523</t>
  </si>
  <si>
    <t>Diodes</t>
  </si>
  <si>
    <t>0679100002</t>
  </si>
  <si>
    <t>CONN PCI EXP MINI FEMALE 52POS</t>
  </si>
  <si>
    <t>J1</t>
  </si>
  <si>
    <t>Molex</t>
  </si>
  <si>
    <t>TF31-22S-0.5SH(800)</t>
  </si>
  <si>
    <t>CONN FFC 22POS 0.50MM SMD</t>
  </si>
  <si>
    <t>J3, J5</t>
  </si>
  <si>
    <t>Hirose</t>
  </si>
  <si>
    <t>1565917-4</t>
  </si>
  <si>
    <t>CONN SKT SODIMM 200POS R/A SMD</t>
  </si>
  <si>
    <t>J4</t>
  </si>
  <si>
    <t>TE Connectivity</t>
  </si>
  <si>
    <t>114-00841-68</t>
  </si>
  <si>
    <t>CONN MICRO SD CARD PUSH-PULL R/A</t>
  </si>
  <si>
    <t>J6</t>
  </si>
  <si>
    <t>10118192-0001LF</t>
  </si>
  <si>
    <t>CONN RCPT USB2.0 MICRO B SMD R/A</t>
  </si>
  <si>
    <t>J10</t>
  </si>
  <si>
    <t>Amphenol FCI</t>
  </si>
  <si>
    <t>61400416021</t>
  </si>
  <si>
    <t>CONN RCPT USB2.0 TYPEA 4POS R/A</t>
  </si>
  <si>
    <t>J12</t>
  </si>
  <si>
    <t>Wurth Electronics</t>
  </si>
  <si>
    <t>47K</t>
  </si>
  <si>
    <t>RES SMD 47K OHM 1% 1/5W 0402</t>
  </si>
  <si>
    <t>R20, R21, R31</t>
  </si>
  <si>
    <t>Res0402</t>
  </si>
  <si>
    <t>RCS040247K0FKED</t>
  </si>
  <si>
    <t>Vishay Dale</t>
  </si>
  <si>
    <t>1.8K</t>
  </si>
  <si>
    <t>RES SMD 1.8K OHM 1% 1/5W 0402</t>
  </si>
  <si>
    <t>R23, R24, R25, R26</t>
  </si>
  <si>
    <t>RCS04021K80FKED</t>
  </si>
  <si>
    <t>0R</t>
  </si>
  <si>
    <t>RES SMD 0 OHM JUMPER 1/5W 0402</t>
  </si>
  <si>
    <t>RCS04020000Z0ED</t>
  </si>
  <si>
    <t>100K</t>
  </si>
  <si>
    <t>RES 100K OHM 1% 1/5W 0402</t>
  </si>
  <si>
    <t>SR0402FR-7T100KL</t>
  </si>
  <si>
    <t>Yageo</t>
  </si>
  <si>
    <t>470R</t>
  </si>
  <si>
    <t>RES SMD 470 OHM 1% 1/5W 0402</t>
  </si>
  <si>
    <t>ERJ-PA2F4700X</t>
  </si>
  <si>
    <t>Panasonic</t>
  </si>
  <si>
    <t>15K</t>
  </si>
  <si>
    <t>RES SMD 15K OHM 1% 1/5W 0402</t>
  </si>
  <si>
    <t>R34</t>
  </si>
  <si>
    <t>ERJ-PA2F1502X</t>
  </si>
  <si>
    <t>Solder Bridge</t>
  </si>
  <si>
    <t>Solder Bridge ON</t>
  </si>
  <si>
    <t>SB1, SB2, SB3, SB4</t>
  </si>
  <si>
    <t>U6</t>
  </si>
  <si>
    <t>S. No.</t>
  </si>
  <si>
    <t>Components</t>
  </si>
  <si>
    <t>Footprint (Package)</t>
  </si>
  <si>
    <t>Alternate</t>
  </si>
  <si>
    <t>Value</t>
  </si>
  <si>
    <t>Quantity (Per Board)</t>
  </si>
  <si>
    <t>Quantity 5</t>
  </si>
  <si>
    <t>DigiKey Link</t>
  </si>
  <si>
    <t>Unit Cost(1)</t>
  </si>
  <si>
    <t>Total Cost(1)</t>
  </si>
  <si>
    <t>Unit Cost (5 Boards)</t>
  </si>
  <si>
    <t>Total Cost (5)</t>
  </si>
  <si>
    <t>Remarks</t>
  </si>
  <si>
    <t>Capacitor</t>
  </si>
  <si>
    <t>Diode</t>
  </si>
  <si>
    <t>Resistor</t>
  </si>
  <si>
    <t>Ics</t>
  </si>
  <si>
    <t>Connector</t>
  </si>
  <si>
    <t>ON Semiconductor</t>
  </si>
  <si>
    <t>FSUSB42UMX</t>
  </si>
  <si>
    <t>Digikey</t>
  </si>
  <si>
    <t>Mouser</t>
  </si>
  <si>
    <t>DMG1012TQ-7</t>
  </si>
  <si>
    <t>1827341-4</t>
  </si>
  <si>
    <t>Custom</t>
  </si>
  <si>
    <t>-------------</t>
  </si>
  <si>
    <t>DO NOT Mount</t>
  </si>
  <si>
    <t xml:space="preserve">Total Component Cost </t>
  </si>
  <si>
    <t>Single Board Cost</t>
  </si>
  <si>
    <t>CAP CER 0.1UF 50V X5R 0402</t>
  </si>
  <si>
    <t>C5, C9, C13, C17, C23, C32</t>
  </si>
  <si>
    <t>CAP CER 4.7UF 50V X7R 1206</t>
  </si>
  <si>
    <t>C3216X7R1H475K160AC</t>
  </si>
  <si>
    <t>----------</t>
  </si>
  <si>
    <t>CAP CER 0.22UF 50V X7R 1206</t>
  </si>
  <si>
    <t>C2, C3</t>
  </si>
  <si>
    <t>VJ1206Y224KXAMT</t>
  </si>
  <si>
    <t>Vishay Vitramon</t>
  </si>
  <si>
    <t>CAP CER 1UF 50V X5R 0402</t>
  </si>
  <si>
    <t>UMK105CBJ105MV-F</t>
  </si>
  <si>
    <t>Taiyo Yuden</t>
  </si>
  <si>
    <t>220nF</t>
  </si>
  <si>
    <t>1uF</t>
  </si>
  <si>
    <t>CAP CER 22UF 25V X5R 1206</t>
  </si>
  <si>
    <t>C8</t>
  </si>
  <si>
    <t>C3216X5R1E226M160AB</t>
  </si>
  <si>
    <t>CAP ALUM 10UF 20% 25V SMD</t>
  </si>
  <si>
    <t>C12</t>
  </si>
  <si>
    <t>22uF</t>
  </si>
  <si>
    <t>10uF</t>
  </si>
  <si>
    <t>CAP CER 10UF 35V X5R 0805</t>
  </si>
  <si>
    <t>C16, C20</t>
  </si>
  <si>
    <t>Cap0805</t>
  </si>
  <si>
    <t>GRM21BR6YA106ME43L</t>
  </si>
  <si>
    <t>CAP ALUM 470UF 20% 25V SMD</t>
  </si>
  <si>
    <t>---------</t>
  </si>
  <si>
    <t>470uF</t>
  </si>
  <si>
    <t>DIODE SCHOTTKY 40V 3A SMA</t>
  </si>
  <si>
    <t>D5, D6</t>
  </si>
  <si>
    <t>DO-214AC</t>
  </si>
  <si>
    <t>CMSH3-40MA TR13 PBFREE</t>
  </si>
  <si>
    <t>Central Semiconductor</t>
  </si>
  <si>
    <t>Diode Switching 50V 1A 2-Pin SMA T/R</t>
  </si>
  <si>
    <t>D7</t>
  </si>
  <si>
    <t>SMA</t>
  </si>
  <si>
    <t>S1A-13-F</t>
  </si>
  <si>
    <t>AMPHENOL ICC</t>
  </si>
  <si>
    <t>R1, R2, R5, R32, R35, R36, R37, R38</t>
  </si>
  <si>
    <t>R27, R28, R29</t>
  </si>
  <si>
    <t>RES SMD 24.9K OHM 1% 1/5W 0402</t>
  </si>
  <si>
    <t>R3</t>
  </si>
  <si>
    <t>RCS040224K9FKED</t>
  </si>
  <si>
    <t>RES SMD 301K OHM 1% 1/5W 0402</t>
  </si>
  <si>
    <t>R4</t>
  </si>
  <si>
    <t>RCS0402301KFKED</t>
  </si>
  <si>
    <t>RES 0.05 OHM 1% 1/2W 1206</t>
  </si>
  <si>
    <t>R6</t>
  </si>
  <si>
    <t>Res1206</t>
  </si>
  <si>
    <t>CSR1206FK50L0</t>
  </si>
  <si>
    <t>Stackpole Electronics</t>
  </si>
  <si>
    <t>RES SMD 536K OHM 1% 1/10W 0402</t>
  </si>
  <si>
    <t>R7</t>
  </si>
  <si>
    <t>ERJ-2RKF5363X</t>
  </si>
  <si>
    <t>RES SMD 453K OHM 1% 1/10W 0402</t>
  </si>
  <si>
    <t>R8</t>
  </si>
  <si>
    <t>ERJ-2RKF4533X</t>
  </si>
  <si>
    <t>RES SMD 5.1 KOHM 1% 1/5W 0402</t>
  </si>
  <si>
    <t>R9, R10, R11, R12</t>
  </si>
  <si>
    <t>ERJ-PA2F5101X</t>
  </si>
  <si>
    <t>RES 10K OHM 1% 1/5W 0402</t>
  </si>
  <si>
    <t>SR0402FR-7T10KL</t>
  </si>
  <si>
    <t>RES SMD 300K OHM 1% 1/5W 0402</t>
  </si>
  <si>
    <t>R16, R17</t>
  </si>
  <si>
    <t>RCS0402300KFKED</t>
  </si>
  <si>
    <t>24.9K</t>
  </si>
  <si>
    <t>301K</t>
  </si>
  <si>
    <t>0.05R</t>
  </si>
  <si>
    <t>536K</t>
  </si>
  <si>
    <t>453K</t>
  </si>
  <si>
    <t>5.1K</t>
  </si>
  <si>
    <t>10K</t>
  </si>
  <si>
    <t>300K</t>
  </si>
  <si>
    <t>Mosfet</t>
  </si>
  <si>
    <t>-------</t>
  </si>
  <si>
    <t>MOSFET N-CH 50V 200MA SOT-23</t>
  </si>
  <si>
    <t>BSS138LT1G</t>
  </si>
  <si>
    <t>FIXED IND 6.8UH 5A 48 MOHM SMD</t>
  </si>
  <si>
    <t>L1</t>
  </si>
  <si>
    <t>0630CDMCCDS-6R8MC</t>
  </si>
  <si>
    <t>Sumida</t>
  </si>
  <si>
    <t>FIXED IND 10UH 2.5A 43.7 MOHM</t>
  </si>
  <si>
    <t>L2</t>
  </si>
  <si>
    <t>SLF10145T-100M2R5-PF</t>
  </si>
  <si>
    <t>Inductor</t>
  </si>
  <si>
    <t>6.8uH</t>
  </si>
  <si>
    <t>10uH</t>
  </si>
  <si>
    <t>AUTOMOTIVE 36-V, 4-A SYNCHRONOUS</t>
  </si>
  <si>
    <t>U1</t>
  </si>
  <si>
    <t>LM60440AQRPKRQ1</t>
  </si>
  <si>
    <t>Texas Instruments</t>
  </si>
  <si>
    <t>IC REG LINEAR 3.3V 3A TO263-3</t>
  </si>
  <si>
    <t>U2</t>
  </si>
  <si>
    <t>MIC29300-3.3WU-TR</t>
  </si>
  <si>
    <t>Microchip</t>
  </si>
  <si>
    <t>IC REG LINEAR 1.8V 300MA 4UDFN</t>
  </si>
  <si>
    <t>U3</t>
  </si>
  <si>
    <t>NCP114BMX180TCG</t>
  </si>
  <si>
    <t>U4</t>
  </si>
  <si>
    <t>LT3652EDD#PBF</t>
  </si>
  <si>
    <t>MOSFET N/P-CH 30V 8SOIC</t>
  </si>
  <si>
    <t>U7</t>
  </si>
  <si>
    <t>IRF7319TRPBF</t>
  </si>
  <si>
    <t>International Rectifier</t>
  </si>
  <si>
    <t xml:space="preserve">13-WQFN-HR (3x2)
</t>
  </si>
  <si>
    <t xml:space="preserve">TO-263-3 </t>
  </si>
  <si>
    <t>4UDFN</t>
  </si>
  <si>
    <t>Analog Devices</t>
  </si>
  <si>
    <t xml:space="preserve">IC BATT CHG MULTI-CHEM 12DFN
</t>
  </si>
  <si>
    <t xml:space="preserve">12-DFN (3x3)
</t>
  </si>
  <si>
    <t xml:space="preserve">8-SO
</t>
  </si>
  <si>
    <t>J15</t>
  </si>
  <si>
    <t>CONN HEADER VERT 3POS 2.5MM</t>
  </si>
  <si>
    <t>J16</t>
  </si>
  <si>
    <t>B3B-XH-A(LF)(SN)</t>
  </si>
  <si>
    <t>JST</t>
  </si>
  <si>
    <t>C1, C14, C15, C28, CF5</t>
  </si>
  <si>
    <t>C4, C10, C11, C21, C36, CF3, CF4</t>
  </si>
  <si>
    <t>C6, C7, C24, C29, C30, C31</t>
  </si>
  <si>
    <t>C18, C19, CF6</t>
  </si>
  <si>
    <t>LED2, LED3, LED4, LEDx1</t>
  </si>
  <si>
    <t>Q1, Q2, Q3</t>
  </si>
  <si>
    <t>Q4, Q5</t>
  </si>
  <si>
    <t>SOT-23</t>
  </si>
  <si>
    <t>R18, R39, R40, R41, R42, RF3, RF7, RF10, RF11</t>
  </si>
  <si>
    <t>R33, RF1</t>
  </si>
  <si>
    <t>RC1</t>
  </si>
  <si>
    <t>Res0603</t>
  </si>
  <si>
    <t>RTT032214FTP</t>
  </si>
  <si>
    <t>RES SMD 1M OHM 5% 1/16W 0402</t>
  </si>
  <si>
    <t>RC2</t>
  </si>
  <si>
    <t>AF0402JR-071ML</t>
  </si>
  <si>
    <t>IC USB SWITCH DPDT 10UMLP</t>
  </si>
  <si>
    <t>10UMLP</t>
  </si>
  <si>
    <t>--------</t>
  </si>
  <si>
    <t>IC ADC 16BIT SIGMA-DELTA 10VSSOP</t>
  </si>
  <si>
    <t>U8</t>
  </si>
  <si>
    <t>ADS1115IDGSR</t>
  </si>
  <si>
    <t>10VSSOP</t>
  </si>
  <si>
    <t>J13, J14, J17</t>
  </si>
  <si>
    <t>CONN HEADER VERT 3POS 2.54MM</t>
  </si>
  <si>
    <t>PF1, PF2</t>
  </si>
  <si>
    <t>CONN HEADER VERT 2POS 2.54MM</t>
  </si>
  <si>
    <t>PF3</t>
  </si>
  <si>
    <t>61300311121</t>
  </si>
  <si>
    <t>61300211121</t>
  </si>
  <si>
    <t>------</t>
  </si>
  <si>
    <t>Test Point ON</t>
  </si>
  <si>
    <t>P1, P2, P3, P4, P5, P6, P7, P8, P9, P10, P11, P12, P13, P14, P15, P16, P17, P18, P19, P20, P21, P22, P23, P24, P25, P26, P27, P28, P29, P30, P31, P32</t>
  </si>
  <si>
    <t>TEST POINT</t>
  </si>
  <si>
    <t xml:space="preserve">RC0402JR-071ML
</t>
  </si>
  <si>
    <t>1M</t>
  </si>
  <si>
    <t>2.21M</t>
  </si>
  <si>
    <t xml:space="preserve">RC0603FR-072M21L
</t>
  </si>
  <si>
    <t xml:space="preserve">GMK212BBJ106MG-T
</t>
  </si>
  <si>
    <t xml:space="preserve">0402N330J250CT
</t>
  </si>
  <si>
    <t>CRCW040210K0JNEDC</t>
  </si>
  <si>
    <t>DIgikey</t>
  </si>
  <si>
    <t xml:space="preserve">RES SMD 2.21M OHM 1% 1/10W 0603
</t>
  </si>
  <si>
    <t>-----------</t>
  </si>
  <si>
    <t>Additional Components</t>
  </si>
  <si>
    <t>Arducam</t>
  </si>
  <si>
    <t>OV5647 Module</t>
  </si>
  <si>
    <t>Amazon</t>
  </si>
  <si>
    <t>Camera Day + Night Vision w/Cables</t>
  </si>
  <si>
    <t>Battery LiFePO4</t>
  </si>
  <si>
    <t>2-Cell LiFePO4</t>
  </si>
  <si>
    <t>Compute Module CM3+</t>
  </si>
  <si>
    <t>CM3+/32GB</t>
  </si>
  <si>
    <t>Raspberry Pi</t>
  </si>
  <si>
    <t>4G Modem Module</t>
  </si>
  <si>
    <t>EG25GGB-MINIPCIE</t>
  </si>
  <si>
    <t>Quectel</t>
  </si>
  <si>
    <t>Twilio Embedded SIM</t>
  </si>
  <si>
    <t>Embedded (MFF2)</t>
  </si>
  <si>
    <t>Twilio</t>
  </si>
  <si>
    <t>Will be sourced directly from Twilio using Client's Account</t>
  </si>
  <si>
    <t>UFL 4G LTE Antenna</t>
  </si>
  <si>
    <t xml:space="preserve">Unit cost (5000) </t>
  </si>
  <si>
    <t>Total Cost(5000)</t>
  </si>
  <si>
    <t>Quantity 5000</t>
  </si>
  <si>
    <t>DigiKey</t>
  </si>
  <si>
    <t xml:space="preserve">Unit cost (1000) </t>
  </si>
  <si>
    <t>Total Cost(1000)</t>
  </si>
  <si>
    <t>Quantity 1000</t>
  </si>
  <si>
    <t>quotaton pending. In contact with supplier</t>
  </si>
  <si>
    <t>Camera Lense</t>
  </si>
  <si>
    <t>Ribbon Cable</t>
  </si>
  <si>
    <t>------------</t>
  </si>
  <si>
    <t>M40180H10</t>
  </si>
  <si>
    <t>Link</t>
  </si>
  <si>
    <t>EEEFK1E100R</t>
  </si>
  <si>
    <t>EEE-FT1E471GP</t>
  </si>
  <si>
    <t>MC-318</t>
  </si>
  <si>
    <t>X10B25U15T</t>
  </si>
  <si>
    <t>SOFNG</t>
  </si>
  <si>
    <t>USB - Type C Female 24 SMD USB Connectors RoHS</t>
  </si>
  <si>
    <t>Contact,Top 15 0.039"（1.00mm） 0.098"（2.50mm） Slide Lock SMD FFC, FPC Connectors RoHS</t>
  </si>
  <si>
    <t>XKB Connectivity</t>
  </si>
  <si>
    <t>From local supplier</t>
  </si>
  <si>
    <t>Panasonic Electronic Components</t>
  </si>
  <si>
    <t xml:space="preserve">Alternate part Please check Footprint </t>
  </si>
  <si>
    <t>U10</t>
  </si>
  <si>
    <t xml:space="preserve">Bill of Material (BOM) for Refrence Formate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</si>
</sst>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00"/>
    <numFmt numFmtId="165" formatCode="_-[$$-409]* #,##0.00_ ;_-[$$-409]* \-#,##0.00\ ;_-[$$-409]* &quot;-&quot;??_ ;_-@_ "/>
    <numFmt numFmtId="166" formatCode="&quot;$&quot;#,##0.00"/>
  </numFmts>
  <fonts count="1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444444"/>
      <name val="Calibri"/>
      <family val="2"/>
      <scheme val="minor"/>
    </font>
    <font>
      <b/>
      <sz val="14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3">
    <xf numFmtId="0" fontId="0" fillId="0" borderId="0" xfId="0"/>
    <xf numFmtId="0" fontId="4" fillId="0" borderId="5" xfId="0" quotePrefix="1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0" xfId="0" applyFont="1"/>
    <xf numFmtId="0" fontId="7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8" fillId="0" borderId="5" xfId="1" quotePrefix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" xfId="1" quotePrefix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4" fillId="0" borderId="10" xfId="0" quotePrefix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8" fillId="0" borderId="10" xfId="1" quotePrefix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166" fontId="0" fillId="0" borderId="0" xfId="0" applyNumberFormat="1"/>
    <xf numFmtId="166" fontId="7" fillId="0" borderId="0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7" fillId="0" borderId="5" xfId="0" quotePrefix="1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4" fillId="5" borderId="1" xfId="0" quotePrefix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0" xfId="0" quotePrefix="1" applyFont="1" applyBorder="1" applyAlignment="1">
      <alignment horizontal="center" vertical="center" wrapText="1"/>
    </xf>
    <xf numFmtId="0" fontId="7" fillId="0" borderId="10" xfId="0" quotePrefix="1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9" xfId="0" applyFont="1" applyBorder="1"/>
    <xf numFmtId="0" fontId="7" fillId="0" borderId="10" xfId="0" quotePrefix="1" applyFont="1" applyBorder="1" applyAlignment="1">
      <alignment horizontal="center" vertical="center"/>
    </xf>
    <xf numFmtId="0" fontId="7" fillId="0" borderId="5" xfId="0" quotePrefix="1" applyFont="1" applyBorder="1" applyAlignment="1">
      <alignment horizontal="center" vertical="center" wrapText="1"/>
    </xf>
    <xf numFmtId="0" fontId="7" fillId="0" borderId="5" xfId="0" quotePrefix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164" fontId="7" fillId="0" borderId="5" xfId="0" applyNumberFormat="1" applyFont="1" applyFill="1" applyBorder="1" applyAlignment="1">
      <alignment horizontal="center" vertical="center"/>
    </xf>
    <xf numFmtId="0" fontId="7" fillId="0" borderId="7" xfId="0" applyFont="1" applyBorder="1"/>
    <xf numFmtId="164" fontId="7" fillId="0" borderId="10" xfId="0" applyNumberFormat="1" applyFont="1" applyFill="1" applyBorder="1" applyAlignment="1">
      <alignment horizontal="center" vertical="center"/>
    </xf>
    <xf numFmtId="164" fontId="9" fillId="3" borderId="10" xfId="0" applyNumberFormat="1" applyFont="1" applyFill="1" applyBorder="1" applyAlignment="1">
      <alignment horizontal="center" vertical="center" wrapText="1"/>
    </xf>
    <xf numFmtId="0" fontId="4" fillId="5" borderId="5" xfId="0" quotePrefix="1" applyFont="1" applyFill="1" applyBorder="1" applyAlignment="1">
      <alignment horizontal="center" vertical="center"/>
    </xf>
    <xf numFmtId="0" fontId="4" fillId="5" borderId="10" xfId="0" quotePrefix="1" applyFont="1" applyFill="1" applyBorder="1" applyAlignment="1">
      <alignment horizontal="center" vertical="center"/>
    </xf>
    <xf numFmtId="0" fontId="4" fillId="0" borderId="12" xfId="0" quotePrefix="1" applyFont="1" applyBorder="1"/>
    <xf numFmtId="0" fontId="4" fillId="0" borderId="12" xfId="0" quotePrefix="1" applyFont="1" applyBorder="1" applyAlignment="1"/>
    <xf numFmtId="0" fontId="7" fillId="0" borderId="11" xfId="0" quotePrefix="1" applyFont="1" applyBorder="1" applyAlignment="1">
      <alignment vertical="center" wrapText="1"/>
    </xf>
    <xf numFmtId="0" fontId="13" fillId="2" borderId="6" xfId="0" applyFont="1" applyFill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 wrapText="1"/>
    </xf>
    <xf numFmtId="0" fontId="7" fillId="0" borderId="12" xfId="0" quotePrefix="1" applyFont="1" applyBorder="1" applyAlignment="1">
      <alignment vertical="center" wrapText="1"/>
    </xf>
    <xf numFmtId="164" fontId="6" fillId="0" borderId="1" xfId="0" applyNumberFormat="1" applyFont="1" applyBorder="1" applyAlignment="1">
      <alignment horizontal="center" vertical="center"/>
    </xf>
    <xf numFmtId="0" fontId="7" fillId="5" borderId="1" xfId="0" quotePrefix="1" applyFont="1" applyFill="1" applyBorder="1" applyAlignment="1">
      <alignment horizontal="center" vertical="center" wrapText="1"/>
    </xf>
    <xf numFmtId="0" fontId="11" fillId="4" borderId="1" xfId="0" quotePrefix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1" fillId="4" borderId="1" xfId="0" quotePrefix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64" fontId="11" fillId="4" borderId="1" xfId="0" quotePrefix="1" applyNumberFormat="1" applyFont="1" applyFill="1" applyBorder="1" applyAlignment="1">
      <alignment horizontal="center" vertical="center"/>
    </xf>
    <xf numFmtId="0" fontId="7" fillId="5" borderId="5" xfId="0" quotePrefix="1" applyFont="1" applyFill="1" applyBorder="1" applyAlignment="1">
      <alignment horizontal="center" vertical="center" wrapText="1"/>
    </xf>
    <xf numFmtId="165" fontId="12" fillId="4" borderId="8" xfId="0" applyNumberFormat="1" applyFont="1" applyFill="1" applyBorder="1" applyAlignment="1">
      <alignment horizontal="center" vertical="center"/>
    </xf>
    <xf numFmtId="0" fontId="7" fillId="5" borderId="10" xfId="0" quotePrefix="1" applyFont="1" applyFill="1" applyBorder="1" applyAlignment="1">
      <alignment horizontal="center" vertical="center" wrapText="1"/>
    </xf>
    <xf numFmtId="165" fontId="12" fillId="5" borderId="7" xfId="0" applyNumberFormat="1" applyFont="1" applyFill="1" applyBorder="1" applyAlignment="1">
      <alignment horizontal="center" vertical="center"/>
    </xf>
    <xf numFmtId="165" fontId="12" fillId="5" borderId="9" xfId="0" applyNumberFormat="1" applyFont="1" applyFill="1" applyBorder="1" applyAlignment="1">
      <alignment horizontal="center" vertical="center"/>
    </xf>
    <xf numFmtId="165" fontId="12" fillId="5" borderId="8" xfId="0" applyNumberFormat="1" applyFont="1" applyFill="1" applyBorder="1" applyAlignment="1">
      <alignment horizontal="center" vertical="center"/>
    </xf>
    <xf numFmtId="0" fontId="11" fillId="4" borderId="1" xfId="0" quotePrefix="1" applyFont="1" applyFill="1" applyBorder="1" applyAlignment="1">
      <alignment horizontal="left" vertical="center" wrapText="1"/>
    </xf>
    <xf numFmtId="0" fontId="5" fillId="0" borderId="1" xfId="1" quotePrefix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1" fillId="4" borderId="17" xfId="0" quotePrefix="1" applyFont="1" applyFill="1" applyBorder="1" applyAlignment="1">
      <alignment horizontal="left" vertical="center" wrapText="1"/>
    </xf>
    <xf numFmtId="0" fontId="11" fillId="4" borderId="17" xfId="0" quotePrefix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64" fontId="7" fillId="0" borderId="21" xfId="0" applyNumberFormat="1" applyFont="1" applyBorder="1" applyAlignment="1">
      <alignment horizontal="center" vertical="center"/>
    </xf>
    <xf numFmtId="164" fontId="7" fillId="0" borderId="22" xfId="0" applyNumberFormat="1" applyFont="1" applyBorder="1" applyAlignment="1">
      <alignment horizontal="center" vertical="center"/>
    </xf>
    <xf numFmtId="164" fontId="7" fillId="0" borderId="23" xfId="0" applyNumberFormat="1" applyFont="1" applyBorder="1" applyAlignment="1">
      <alignment horizontal="center" vertical="center"/>
    </xf>
    <xf numFmtId="164" fontId="7" fillId="0" borderId="24" xfId="0" applyNumberFormat="1" applyFont="1" applyBorder="1" applyAlignment="1">
      <alignment horizontal="center" vertical="center"/>
    </xf>
    <xf numFmtId="164" fontId="7" fillId="0" borderId="25" xfId="0" applyNumberFormat="1" applyFont="1" applyBorder="1" applyAlignment="1">
      <alignment horizontal="center" vertical="center"/>
    </xf>
    <xf numFmtId="164" fontId="11" fillId="4" borderId="22" xfId="0" quotePrefix="1" applyNumberFormat="1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64" fontId="11" fillId="0" borderId="21" xfId="0" applyNumberFormat="1" applyFont="1" applyBorder="1" applyAlignment="1">
      <alignment horizontal="center" vertical="center"/>
    </xf>
    <xf numFmtId="166" fontId="14" fillId="0" borderId="0" xfId="0" applyNumberFormat="1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7" xfId="0" quotePrefix="1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/>
    </xf>
    <xf numFmtId="164" fontId="11" fillId="4" borderId="17" xfId="0" quotePrefix="1" applyNumberFormat="1" applyFont="1" applyFill="1" applyBorder="1" applyAlignment="1">
      <alignment horizontal="center" vertical="center"/>
    </xf>
    <xf numFmtId="164" fontId="11" fillId="4" borderId="25" xfId="0" quotePrefix="1" applyNumberFormat="1" applyFont="1" applyFill="1" applyBorder="1" applyAlignment="1">
      <alignment horizontal="center" vertical="center"/>
    </xf>
    <xf numFmtId="164" fontId="11" fillId="0" borderId="28" xfId="0" applyNumberFormat="1" applyFont="1" applyBorder="1" applyAlignment="1">
      <alignment horizontal="center" vertical="center"/>
    </xf>
    <xf numFmtId="165" fontId="12" fillId="4" borderId="29" xfId="0" applyNumberFormat="1" applyFont="1" applyFill="1" applyBorder="1" applyAlignment="1">
      <alignment horizontal="center" vertical="center"/>
    </xf>
    <xf numFmtId="0" fontId="4" fillId="0" borderId="31" xfId="0" quotePrefix="1" applyFont="1" applyBorder="1"/>
    <xf numFmtId="0" fontId="8" fillId="0" borderId="5" xfId="1" applyFont="1" applyBorder="1" applyAlignment="1">
      <alignment horizontal="center" vertical="center"/>
    </xf>
    <xf numFmtId="0" fontId="4" fillId="0" borderId="32" xfId="0" quotePrefix="1" applyFont="1" applyBorder="1"/>
    <xf numFmtId="0" fontId="4" fillId="0" borderId="32" xfId="0" applyFont="1" applyFill="1" applyBorder="1"/>
    <xf numFmtId="0" fontId="4" fillId="0" borderId="33" xfId="0" applyFont="1" applyFill="1" applyBorder="1"/>
    <xf numFmtId="0" fontId="4" fillId="0" borderId="35" xfId="0" quotePrefix="1" applyFont="1" applyBorder="1"/>
    <xf numFmtId="0" fontId="7" fillId="0" borderId="26" xfId="0" quotePrefix="1" applyFont="1" applyBorder="1" applyAlignment="1">
      <alignment horizontal="center" vertical="center"/>
    </xf>
    <xf numFmtId="0" fontId="4" fillId="0" borderId="26" xfId="0" quotePrefix="1" applyFont="1" applyBorder="1" applyAlignment="1">
      <alignment horizontal="center" vertical="center"/>
    </xf>
    <xf numFmtId="164" fontId="7" fillId="0" borderId="26" xfId="0" applyNumberFormat="1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26" xfId="1" applyBorder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0" fontId="15" fillId="0" borderId="1" xfId="0" quotePrefix="1" applyFont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0" fontId="4" fillId="0" borderId="12" xfId="0" quotePrefix="1" applyFont="1" applyBorder="1" applyAlignment="1">
      <alignment wrapText="1"/>
    </xf>
    <xf numFmtId="0" fontId="4" fillId="0" borderId="1" xfId="0" quotePrefix="1" applyFont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/>
    </xf>
    <xf numFmtId="0" fontId="4" fillId="5" borderId="11" xfId="0" quotePrefix="1" applyFont="1" applyFill="1" applyBorder="1"/>
    <xf numFmtId="0" fontId="4" fillId="5" borderId="12" xfId="0" quotePrefix="1" applyFont="1" applyFill="1" applyBorder="1"/>
    <xf numFmtId="0" fontId="4" fillId="5" borderId="12" xfId="0" quotePrefix="1" applyFont="1" applyFill="1" applyBorder="1" applyAlignment="1">
      <alignment horizontal="left" vertical="center"/>
    </xf>
    <xf numFmtId="0" fontId="7" fillId="5" borderId="12" xfId="0" quotePrefix="1" applyFont="1" applyFill="1" applyBorder="1" applyAlignment="1">
      <alignment vertical="center"/>
    </xf>
    <xf numFmtId="0" fontId="7" fillId="5" borderId="13" xfId="0" quotePrefix="1" applyFont="1" applyFill="1" applyBorder="1" applyAlignment="1">
      <alignment vertical="center" wrapText="1"/>
    </xf>
    <xf numFmtId="0" fontId="4" fillId="5" borderId="13" xfId="0" quotePrefix="1" applyFont="1" applyFill="1" applyBorder="1"/>
    <xf numFmtId="0" fontId="7" fillId="5" borderId="11" xfId="0" quotePrefix="1" applyFont="1" applyFill="1" applyBorder="1" applyAlignment="1">
      <alignment vertical="center" wrapText="1"/>
    </xf>
    <xf numFmtId="0" fontId="4" fillId="6" borderId="12" xfId="0" quotePrefix="1" applyFont="1" applyFill="1" applyBorder="1"/>
    <xf numFmtId="0" fontId="4" fillId="6" borderId="1" xfId="0" quotePrefix="1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4" fillId="5" borderId="12" xfId="0" quotePrefix="1" applyFont="1" applyFill="1" applyBorder="1" applyAlignment="1"/>
    <xf numFmtId="0" fontId="7" fillId="5" borderId="12" xfId="0" quotePrefix="1" applyFont="1" applyFill="1" applyBorder="1" applyAlignment="1">
      <alignment vertical="center" wrapText="1"/>
    </xf>
    <xf numFmtId="0" fontId="10" fillId="5" borderId="30" xfId="0" applyFont="1" applyFill="1" applyBorder="1" applyAlignment="1">
      <alignment horizontal="center" wrapText="1"/>
    </xf>
    <xf numFmtId="0" fontId="10" fillId="5" borderId="0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w%C3%BCrth-elektronik/61400416021/2060602" TargetMode="External"/><Relationship Id="rId18" Type="http://schemas.openxmlformats.org/officeDocument/2006/relationships/hyperlink" Target="https://www.digikey.com/en/products/detail/vishay-vitramon/VJ1206Y224KXAMT/2776712?s=N4IgTCBcDaIGoCkCMYAMA2AmmMAWA0gBoCCAsgCogC6AvkA" TargetMode="External"/><Relationship Id="rId26" Type="http://schemas.openxmlformats.org/officeDocument/2006/relationships/hyperlink" Target="https://www.digikey.com/en/products/detail/stackpole-electronics-inc/CSR1206FK50L0/1646095?s=N4IgTCBcDaIMIGUBKBGMAGAbAMQNIFZ0AZdEAXQF8g" TargetMode="External"/><Relationship Id="rId39" Type="http://schemas.openxmlformats.org/officeDocument/2006/relationships/hyperlink" Target="https://www.digikey.com/en/products/detail/w%C3%BCrth-elektronik/61300211121/4846823?s=N4IgTCBcDaIGwEYDMAGFYGYyAugXyA" TargetMode="External"/><Relationship Id="rId21" Type="http://schemas.openxmlformats.org/officeDocument/2006/relationships/hyperlink" Target="https://www.digikey.com/en/products/detail/kemet/EDK106M025A9BAA/2712595?s=N4IgTCBcDaIKIBEDSBGADANgLJrAVgEEBOAIQIJAF0BfIA" TargetMode="External"/><Relationship Id="rId34" Type="http://schemas.openxmlformats.org/officeDocument/2006/relationships/hyperlink" Target="https://www.digikey.com/en/products/detail/on-semiconductor/NCP114BMX180TCG/5257673?s=N4IgTCBcDaIHIGEAKBGFAWAQgWQBooA4AGAFQQHEQBdAXyA" TargetMode="External"/><Relationship Id="rId42" Type="http://schemas.openxmlformats.org/officeDocument/2006/relationships/hyperlink" Target="https://www.digikey.com/en/products/detail/ohmite/JR0402X20E/10233370" TargetMode="External"/><Relationship Id="rId47" Type="http://schemas.openxmlformats.org/officeDocument/2006/relationships/hyperlink" Target="https://www.amazon.com/Arducam-Day-Night-Raspberry-Automatic-Switching/dp/B07X1VGQSL" TargetMode="External"/><Relationship Id="rId50" Type="http://schemas.openxmlformats.org/officeDocument/2006/relationships/hyperlink" Target="https://www.twilio.com/console/iot/orders/new" TargetMode="External"/><Relationship Id="rId55" Type="http://schemas.openxmlformats.org/officeDocument/2006/relationships/hyperlink" Target="https://www.uctronics.com/camera-modules/camera-accessories/ribbon-fpc-15-pin-flat-cable-50cm-for-raspberry-pi-camera-p-1959l-300.html" TargetMode="External"/><Relationship Id="rId7" Type="http://schemas.openxmlformats.org/officeDocument/2006/relationships/hyperlink" Target="https://www.digikey.com/en/products/detail/panasonic-electronic-components/ERJ-PA2F4700X/5402648?s=N4IgTCBcDaIKICUBSBaACgQTAMQCwHYAGQgDRAF0BfIA" TargetMode="External"/><Relationship Id="rId2" Type="http://schemas.openxmlformats.org/officeDocument/2006/relationships/hyperlink" Target="https://www.digikey.com/en/products/detail/tdk-corporation/C3216X5R1E476M160AC/2792260?s=N4IgTCBcDaIMIGYwEYBsANArAJWQUQBYB2VAWTQAYBBOEAXQF8g" TargetMode="External"/><Relationship Id="rId16" Type="http://schemas.openxmlformats.org/officeDocument/2006/relationships/hyperlink" Target="https://www.digikey.com/en/products/detail/tdk-corporation/C1005X5R1H104K050BB/2443420?s=N4IgTCBcDaIMIEYAMSCsANVAlBAJZALANJpIBCZIAugL5A" TargetMode="External"/><Relationship Id="rId29" Type="http://schemas.openxmlformats.org/officeDocument/2006/relationships/hyperlink" Target="https://www.digikey.com/en/products/detail/panasonic-electronic-components/ERJ-PA2F5101X/9815254?s=N4IgTCBcDaIKICUBSBaACgQTAMQKwEYAGfADRAF0BfIA" TargetMode="External"/><Relationship Id="rId11" Type="http://schemas.openxmlformats.org/officeDocument/2006/relationships/hyperlink" Target="https://www.digikey.com/en/products/detail/amphenol-icc-commercial-products/114-00841-68/2187086" TargetMode="External"/><Relationship Id="rId24" Type="http://schemas.openxmlformats.org/officeDocument/2006/relationships/hyperlink" Target="https://www.digikey.com/en/products/detail/vishay-dale/RCS040224K9FKED/5867846?s=N4IgTCBcDaIEoGEDKAGALCsY0GkCcAYjgKIAiIAugL5A" TargetMode="External"/><Relationship Id="rId32" Type="http://schemas.openxmlformats.org/officeDocument/2006/relationships/hyperlink" Target="https://www.digikey.com/en/products/detail/tdk-corporation/SLF10145T-100M2R5-PF/755327?s=N4IgTCBcDaIMoBkBiBGADCgLAVgCoFp00BZMAJW3wAUkQBdAXyA" TargetMode="External"/><Relationship Id="rId37" Type="http://schemas.openxmlformats.org/officeDocument/2006/relationships/hyperlink" Target="https://www.digikey.com/en/products/detail/yageo/RC0603FR-072M21L/727019" TargetMode="External"/><Relationship Id="rId40" Type="http://schemas.openxmlformats.org/officeDocument/2006/relationships/hyperlink" Target="https://www.digikey.com/en/products/detail/taiyo-yuden/GMK212BBJ106MG-T/6563487" TargetMode="External"/><Relationship Id="rId45" Type="http://schemas.openxmlformats.org/officeDocument/2006/relationships/hyperlink" Target="https://www.digikey.com/en/products/detail/on-semiconductor/BSS138LT1G/918376" TargetMode="External"/><Relationship Id="rId53" Type="http://schemas.openxmlformats.org/officeDocument/2006/relationships/hyperlink" Target="https://www.digikey.com/en/products/detail/IRF7319TRPBF/IRF7319PBFCT-ND/827930?utm_campaign=buynow&amp;utm_medium=aggregator&amp;curr=usd&amp;utm_source=octopart" TargetMode="External"/><Relationship Id="rId5" Type="http://schemas.openxmlformats.org/officeDocument/2006/relationships/hyperlink" Target="https://www.digikey.com/en/products/detail/vishay-dale/RCS04021K80FKED/5867723?s=N4IgTCBcDaIEoGEDKAGALCsBGA0gDhQDEcBRAERAF0BfIA" TargetMode="External"/><Relationship Id="rId10" Type="http://schemas.openxmlformats.org/officeDocument/2006/relationships/hyperlink" Target="https://www.digikey.com/en/products/detail/hirose-electric-co-ltd/TF31-22S-0-5SH-800/11204757?s=N4IgTCBcDaICoDEDMBGAtGMBlNAGAdAKxYASAFABy64CUIAugL5A" TargetMode="External"/><Relationship Id="rId19" Type="http://schemas.openxmlformats.org/officeDocument/2006/relationships/hyperlink" Target="https://www.digikey.com/en/products/detail/taiyo-yuden/UMK105CBJ105MV-F/7403871?s=N4IgTCBcDaIKoFkDSBGADAVgMICEBS6GCAagLQBiIAugL5A" TargetMode="External"/><Relationship Id="rId31" Type="http://schemas.openxmlformats.org/officeDocument/2006/relationships/hyperlink" Target="https://www.digikey.com/en/products/detail/sumida-america-components-inc/0630CDMCCDS-6R8MC/5812459?s=N4IgTCBcDaIAwDYDMcDCARAsqjBlAtAgEoAc2IAugL5A" TargetMode="External"/><Relationship Id="rId44" Type="http://schemas.openxmlformats.org/officeDocument/2006/relationships/hyperlink" Target="https://eu.mouser.com/ProductDetail/Texas-Instruments/ADS1115IDGSR?qs=IK5e5L0zOXjKCJoVMhYO%2FQ%3D%3D" TargetMode="External"/><Relationship Id="rId52" Type="http://schemas.openxmlformats.org/officeDocument/2006/relationships/hyperlink" Target="https://www.digikey.com/en/products/detail/MIC29300-3.3WU-TR/MIC29300-3.3WU-DKR-ND/8603378?utm_campaign=buynow&amp;utm_medium=aggregator&amp;curr=usd&amp;utm_source=octopart" TargetMode="External"/><Relationship Id="rId4" Type="http://schemas.openxmlformats.org/officeDocument/2006/relationships/hyperlink" Target="https://www.digikey.com/en/products/detail/vishay-dale/RCS040247K0FKED/5867043?s=N4IgTCBcDaIEoGEDKAGALCsaDsBpFAYrgKIAiIAugL5A" TargetMode="External"/><Relationship Id="rId9" Type="http://schemas.openxmlformats.org/officeDocument/2006/relationships/hyperlink" Target="https://eu.mouser.com/ProductDetail/Molex/67910-0002?qs=%2Fha2pyFaduj5ZDF2BvlhYeQnahgE%252BfnedFhUIuzLYAQ%3D" TargetMode="External"/><Relationship Id="rId14" Type="http://schemas.openxmlformats.org/officeDocument/2006/relationships/hyperlink" Target="https://www.digikey.com/en/products/detail/diodes-incorporated/DMG1012TQ-7/6187255" TargetMode="External"/><Relationship Id="rId22" Type="http://schemas.openxmlformats.org/officeDocument/2006/relationships/hyperlink" Target="https://www.digikey.com/en/products/detail/central-semiconductor-corp/CMSH3-40MA-TR13-PBFREE/4897045?s=N4IgTCBcDaIMIFkDKAJAzAWgCwAYEEEACAFQCUBGNQgBQCEAxUgUSZAF0BfIA" TargetMode="External"/><Relationship Id="rId27" Type="http://schemas.openxmlformats.org/officeDocument/2006/relationships/hyperlink" Target="https://www.digikey.com/en/products/detail/panasonic-electronic-components/ERJ-2RKF5363X/192403?s=N4IgTCBcDaIKICUBSBaMCDSAxArAZgDY8ANEAXQF8g" TargetMode="External"/><Relationship Id="rId30" Type="http://schemas.openxmlformats.org/officeDocument/2006/relationships/hyperlink" Target="https://www.digikey.com/en/products/detail/vishay-dale/RCS0402300KFKED/5867965?s=N4IgTCBcDaIEoGEDKAGALCsBmFKDSAYngKIAiIAugL5A" TargetMode="External"/><Relationship Id="rId35" Type="http://schemas.openxmlformats.org/officeDocument/2006/relationships/hyperlink" Target="https://www.digikey.com/en/products/detail/LT3652EDD%2523PBF/LT3652EDD%2523PBF-ND/2138757?utm_campaign=buynow&amp;utm_medium=aggregator&amp;curr=usd&amp;utm_source=octopart" TargetMode="External"/><Relationship Id="rId43" Type="http://schemas.openxmlformats.org/officeDocument/2006/relationships/hyperlink" Target="https://www.digikey.com/en/products/detail/vishay-dale/CRCW040210K0JNEDC/7928380" TargetMode="External"/><Relationship Id="rId48" Type="http://schemas.openxmlformats.org/officeDocument/2006/relationships/hyperlink" Target="https://www.digikey.com/en/products/detail/raspberry-pi/CM3-32GB/9866296?src=raspberrypi" TargetMode="External"/><Relationship Id="rId56" Type="http://schemas.openxmlformats.org/officeDocument/2006/relationships/printerSettings" Target="../printerSettings/printerSettings1.bin"/><Relationship Id="rId8" Type="http://schemas.openxmlformats.org/officeDocument/2006/relationships/hyperlink" Target="https://www.digikey.com/en/products/detail/panasonic-electronic-components/ERJ-PA2F1502X/5402657?s=N4IgTCBcDaIKICUBSBaACgQTAMQIwFYAGMADRAF0BfIA" TargetMode="External"/><Relationship Id="rId51" Type="http://schemas.openxmlformats.org/officeDocument/2006/relationships/hyperlink" Target="https://www.digikey.com/en/products/detail/tdk-corporation/C3216X5R1E226M160AB/2443478?s=N4IgTCBcDaIMIGYwEYBsANArAJWQUTDFQFk0AGAQQCEQBdAXyA" TargetMode="External"/><Relationship Id="rId3" Type="http://schemas.openxmlformats.org/officeDocument/2006/relationships/hyperlink" Target="https://www.digikey.com/en/products/detail/sunled/XZVG68W-2/4745975?s=N4IgTCBcDaIBoC0BqBxAbADgOoFoIF0BfIA" TargetMode="External"/><Relationship Id="rId12" Type="http://schemas.openxmlformats.org/officeDocument/2006/relationships/hyperlink" Target="https://www.digikey.com/en/products/detail/amphenol-icc-fci/10118192-0001LF/2785387?s=N4IgTCBcDaIIwAY5wBxwJxgLQN3AMgGIgC6AvkA" TargetMode="External"/><Relationship Id="rId17" Type="http://schemas.openxmlformats.org/officeDocument/2006/relationships/hyperlink" Target="https://www.digikey.com/en/products/detail/tdk-corporation/C3216X7R1H475K160AC/2792268?s=N4IgTCBcDaIMIGYwEYBsANA7AJWQCQBZMBWAaTQAYBBOEAXQF8g" TargetMode="External"/><Relationship Id="rId25" Type="http://schemas.openxmlformats.org/officeDocument/2006/relationships/hyperlink" Target="https://www.digikey.com/en/products/detail/vishay-dale/RCS0402301KFKED/5867966?s=N4IgTCBcDaIEoGEDKAGALCsBmFBGA0gGL4CiAIiALoC%2BQA" TargetMode="External"/><Relationship Id="rId33" Type="http://schemas.openxmlformats.org/officeDocument/2006/relationships/hyperlink" Target="https://www.digikey.com/en/products/detail/texas-instruments/LM60440AQRPKRQ1/12642251?s=N4IgTCBcDaIDIFkBsAGALGlBBAigJQAUBpPHARhAF0BfIA" TargetMode="External"/><Relationship Id="rId38" Type="http://schemas.openxmlformats.org/officeDocument/2006/relationships/hyperlink" Target="https://www.digikey.com/en/products/detail/w%C3%BCrth-elektronik/61300311121/4846825?s=N4IgTCBcDaIGwEYDMAGFSGbAkBdAvkA" TargetMode="External"/><Relationship Id="rId46" Type="http://schemas.openxmlformats.org/officeDocument/2006/relationships/hyperlink" Target="https://www.digikey.com/en/products/detail/jst-sales-america-inc/B3B-XH-A-LF-SN/1651046?s=N4IgTCBcDaIEIGY4FoAaAJZBBAFAGQDEBKHAZQDkiQBdAXyA" TargetMode="External"/><Relationship Id="rId20" Type="http://schemas.openxmlformats.org/officeDocument/2006/relationships/hyperlink" Target="https://www.digikey.com/en/products/detail/kemet/EXV477M025A9PAA/7319818?s=N4IgTCBcDaIKIA0BqAWA7GgsgBjAVgEEBOABQIJAF0BfIA" TargetMode="External"/><Relationship Id="rId41" Type="http://schemas.openxmlformats.org/officeDocument/2006/relationships/hyperlink" Target="https://www.digikey.com/en/products/detail/walsin-technology-corporation/0402N330J250CT/9354802" TargetMode="External"/><Relationship Id="rId54" Type="http://schemas.openxmlformats.org/officeDocument/2006/relationships/hyperlink" Target="https://www.uctronics.com/m40180h10.html" TargetMode="External"/><Relationship Id="rId1" Type="http://schemas.openxmlformats.org/officeDocument/2006/relationships/hyperlink" Target="https://www.digikey.com/en/products/detail/on-semiconductor/FSUSB42UMX/1642609" TargetMode="External"/><Relationship Id="rId6" Type="http://schemas.openxmlformats.org/officeDocument/2006/relationships/hyperlink" Target="https://www.digikey.com/en/products/detail/yageo/SR0402FR-7T100KL/9373087?s=N4IgTCBcDaIMoCUAMAWJYBiCC0B2AKgIxJIDSAMiALoC%2BQA" TargetMode="External"/><Relationship Id="rId15" Type="http://schemas.openxmlformats.org/officeDocument/2006/relationships/hyperlink" Target="https://www.digikey.com/en/products/detail/te-connectivity-amp-connectors/1827341-4/2135532" TargetMode="External"/><Relationship Id="rId23" Type="http://schemas.openxmlformats.org/officeDocument/2006/relationships/hyperlink" Target="https://www.digikey.com/en/products/detail/diodes-incorporated/S1A-13-F/749977" TargetMode="External"/><Relationship Id="rId28" Type="http://schemas.openxmlformats.org/officeDocument/2006/relationships/hyperlink" Target="https://www.digikey.com/en/products/detail/panasonic-electronic-components/ERJ-2RKF4533X/192369?s=N4IgTCBcDaIKICUBSBaMCDSAxALAVgGYCANEAXQF8g" TargetMode="External"/><Relationship Id="rId36" Type="http://schemas.openxmlformats.org/officeDocument/2006/relationships/hyperlink" Target="https://www.digikey.com/en/products/detail/yageo/RC0402JR-071ML/726409" TargetMode="External"/><Relationship Id="rId49" Type="http://schemas.openxmlformats.org/officeDocument/2006/relationships/hyperlink" Target="https://www.digikey.com/en/products/detail/quectel/EG25GGB-MINIPCIE/132783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5"/>
  <sheetViews>
    <sheetView tabSelected="1" zoomScale="86" zoomScaleNormal="85" workbookViewId="0">
      <selection activeCell="A2" sqref="A2"/>
    </sheetView>
  </sheetViews>
  <sheetFormatPr defaultRowHeight="15" x14ac:dyDescent="0.25"/>
  <cols>
    <col min="1" max="1" width="6.140625" style="25" bestFit="1" customWidth="1"/>
    <col min="2" max="2" width="14.42578125" customWidth="1"/>
    <col min="3" max="3" width="32.28515625" bestFit="1" customWidth="1"/>
    <col min="4" max="4" width="28.5703125" bestFit="1" customWidth="1"/>
    <col min="5" max="5" width="18.5703125" bestFit="1" customWidth="1"/>
    <col min="6" max="6" width="25.28515625" bestFit="1" customWidth="1"/>
    <col min="7" max="7" width="19.140625" bestFit="1" customWidth="1"/>
    <col min="8" max="8" width="18.7109375" bestFit="1" customWidth="1"/>
    <col min="9" max="9" width="6.140625" bestFit="1" customWidth="1"/>
    <col min="10" max="10" width="19.42578125" bestFit="1" customWidth="1"/>
    <col min="11" max="11" width="10.140625" bestFit="1" customWidth="1"/>
    <col min="12" max="12" width="13.5703125" customWidth="1"/>
    <col min="13" max="13" width="13.85546875" customWidth="1"/>
    <col min="14" max="14" width="11.7109375" bestFit="1" customWidth="1"/>
    <col min="15" max="15" width="11.5703125" bestFit="1" customWidth="1"/>
    <col min="16" max="16" width="12.140625" bestFit="1" customWidth="1"/>
    <col min="17" max="17" width="18.7109375" bestFit="1" customWidth="1"/>
    <col min="18" max="18" width="12.5703125" bestFit="1" customWidth="1"/>
    <col min="19" max="19" width="16" customWidth="1"/>
    <col min="20" max="20" width="15.7109375" customWidth="1"/>
    <col min="21" max="21" width="14.5703125" customWidth="1"/>
    <col min="22" max="22" width="19.5703125" customWidth="1"/>
    <col min="23" max="23" width="48.28515625" bestFit="1" customWidth="1"/>
  </cols>
  <sheetData>
    <row r="1" spans="1:25" ht="16.5" thickBot="1" x14ac:dyDescent="0.3">
      <c r="A1" s="127" t="s">
        <v>310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9"/>
    </row>
    <row r="2" spans="1:25" ht="15.75" thickBot="1" x14ac:dyDescent="0.3">
      <c r="A2" s="2" t="s">
        <v>78</v>
      </c>
      <c r="B2" s="2" t="s">
        <v>79</v>
      </c>
      <c r="C2" s="2" t="s">
        <v>0</v>
      </c>
      <c r="D2" s="2" t="s">
        <v>1</v>
      </c>
      <c r="E2" s="2" t="s">
        <v>80</v>
      </c>
      <c r="F2" s="2" t="s">
        <v>3</v>
      </c>
      <c r="G2" s="2" t="s">
        <v>2</v>
      </c>
      <c r="H2" s="2" t="s">
        <v>81</v>
      </c>
      <c r="I2" s="2" t="s">
        <v>82</v>
      </c>
      <c r="J2" s="2" t="s">
        <v>83</v>
      </c>
      <c r="K2" s="2" t="s">
        <v>84</v>
      </c>
      <c r="L2" s="2" t="s">
        <v>291</v>
      </c>
      <c r="M2" s="2" t="s">
        <v>287</v>
      </c>
      <c r="N2" s="2" t="s">
        <v>85</v>
      </c>
      <c r="O2" s="2" t="s">
        <v>86</v>
      </c>
      <c r="P2" s="2" t="s">
        <v>87</v>
      </c>
      <c r="Q2" s="2" t="s">
        <v>88</v>
      </c>
      <c r="R2" s="2" t="s">
        <v>89</v>
      </c>
      <c r="S2" s="2" t="s">
        <v>289</v>
      </c>
      <c r="T2" s="2" t="s">
        <v>290</v>
      </c>
      <c r="U2" s="2" t="s">
        <v>285</v>
      </c>
      <c r="V2" s="2" t="s">
        <v>286</v>
      </c>
      <c r="W2" s="2" t="s">
        <v>90</v>
      </c>
    </row>
    <row r="3" spans="1:25" ht="15.75" thickBot="1" x14ac:dyDescent="0.3">
      <c r="A3" s="49">
        <v>1</v>
      </c>
      <c r="B3" s="130" t="s">
        <v>91</v>
      </c>
      <c r="C3" s="109" t="s">
        <v>107</v>
      </c>
      <c r="D3" s="44" t="s">
        <v>108</v>
      </c>
      <c r="E3" s="1" t="s">
        <v>5</v>
      </c>
      <c r="F3" s="1" t="s">
        <v>6</v>
      </c>
      <c r="G3" s="1" t="s">
        <v>7</v>
      </c>
      <c r="H3" s="26" t="s">
        <v>111</v>
      </c>
      <c r="I3" s="1" t="s">
        <v>4</v>
      </c>
      <c r="J3" s="5">
        <v>6</v>
      </c>
      <c r="K3" s="4">
        <f>J3*5</f>
        <v>30</v>
      </c>
      <c r="L3" s="4">
        <f>J3*1000</f>
        <v>6000</v>
      </c>
      <c r="M3" s="4">
        <f>J3*5000</f>
        <v>30000</v>
      </c>
      <c r="N3" s="6" t="s">
        <v>98</v>
      </c>
      <c r="O3" s="19">
        <v>0.12</v>
      </c>
      <c r="P3" s="19">
        <f>O3*J3</f>
        <v>0.72</v>
      </c>
      <c r="Q3" s="19">
        <v>0.09</v>
      </c>
      <c r="R3" s="19">
        <f t="shared" ref="R3:R34" si="0">Q3*K3</f>
        <v>2.6999999999999997</v>
      </c>
      <c r="S3" s="75">
        <v>1.8780000000000002E-2</v>
      </c>
      <c r="T3" s="75">
        <f>S3*L3</f>
        <v>112.68</v>
      </c>
      <c r="U3" s="75">
        <v>1.8780000000000002E-2</v>
      </c>
      <c r="V3" s="75">
        <f t="shared" ref="V3:V34" si="1">U3*M3</f>
        <v>563.40000000000009</v>
      </c>
      <c r="W3" s="7"/>
      <c r="X3" s="3"/>
      <c r="Y3" s="3"/>
    </row>
    <row r="4" spans="1:25" ht="15.75" thickBot="1" x14ac:dyDescent="0.3">
      <c r="A4" s="49">
        <v>2</v>
      </c>
      <c r="B4" s="131"/>
      <c r="C4" s="110" t="s">
        <v>9</v>
      </c>
      <c r="D4" s="53" t="s">
        <v>225</v>
      </c>
      <c r="E4" s="8" t="s">
        <v>10</v>
      </c>
      <c r="F4" s="8" t="s">
        <v>11</v>
      </c>
      <c r="G4" s="8" t="s">
        <v>7</v>
      </c>
      <c r="H4" s="27" t="s">
        <v>111</v>
      </c>
      <c r="I4" s="8" t="s">
        <v>8</v>
      </c>
      <c r="J4" s="10">
        <v>6</v>
      </c>
      <c r="K4" s="9">
        <f t="shared" ref="K4:K54" si="2">J4*5</f>
        <v>30</v>
      </c>
      <c r="L4" s="4">
        <f t="shared" ref="L4:L63" si="3">J4*1000</f>
        <v>6000</v>
      </c>
      <c r="M4" s="4">
        <f t="shared" ref="M4:M63" si="4">J4*5000</f>
        <v>30000</v>
      </c>
      <c r="N4" s="11" t="s">
        <v>98</v>
      </c>
      <c r="O4" s="20">
        <v>1.0900000000000001</v>
      </c>
      <c r="P4" s="20">
        <f t="shared" ref="P4:P53" si="5">O4*J4</f>
        <v>6.5400000000000009</v>
      </c>
      <c r="Q4" s="20">
        <v>0.86199999999999999</v>
      </c>
      <c r="R4" s="20">
        <f t="shared" si="0"/>
        <v>25.86</v>
      </c>
      <c r="S4" s="76">
        <v>0.43125000000000002</v>
      </c>
      <c r="T4" s="75">
        <f t="shared" ref="T4:T63" si="6">S4*L4</f>
        <v>2587.5</v>
      </c>
      <c r="U4" s="76">
        <v>0.43125000000000002</v>
      </c>
      <c r="V4" s="75">
        <f t="shared" si="1"/>
        <v>12937.5</v>
      </c>
      <c r="W4" s="12"/>
      <c r="X4" s="3"/>
      <c r="Y4" s="3"/>
    </row>
    <row r="5" spans="1:25" ht="15.75" thickBot="1" x14ac:dyDescent="0.3">
      <c r="A5" s="49">
        <v>3</v>
      </c>
      <c r="B5" s="131"/>
      <c r="C5" s="110" t="s">
        <v>109</v>
      </c>
      <c r="D5" s="28" t="s">
        <v>223</v>
      </c>
      <c r="E5" s="8" t="s">
        <v>10</v>
      </c>
      <c r="F5" s="8" t="s">
        <v>110</v>
      </c>
      <c r="G5" s="8" t="s">
        <v>7</v>
      </c>
      <c r="H5" s="27" t="s">
        <v>111</v>
      </c>
      <c r="I5" s="8" t="s">
        <v>12</v>
      </c>
      <c r="J5" s="10">
        <v>5</v>
      </c>
      <c r="K5" s="9">
        <f t="shared" si="2"/>
        <v>25</v>
      </c>
      <c r="L5" s="4">
        <f t="shared" si="3"/>
        <v>5000</v>
      </c>
      <c r="M5" s="4">
        <f t="shared" si="4"/>
        <v>25000</v>
      </c>
      <c r="N5" s="11" t="s">
        <v>98</v>
      </c>
      <c r="O5" s="20">
        <v>0.76</v>
      </c>
      <c r="P5" s="20">
        <f t="shared" si="5"/>
        <v>3.8</v>
      </c>
      <c r="Q5" s="20">
        <v>0.53500000000000003</v>
      </c>
      <c r="R5" s="20">
        <f t="shared" si="0"/>
        <v>13.375</v>
      </c>
      <c r="S5" s="103">
        <v>0.22170000000000001</v>
      </c>
      <c r="T5" s="75">
        <f t="shared" si="6"/>
        <v>1108.5</v>
      </c>
      <c r="U5" s="76">
        <v>0.22170000000000001</v>
      </c>
      <c r="V5" s="75">
        <f t="shared" si="1"/>
        <v>5542.5</v>
      </c>
      <c r="W5" s="12"/>
      <c r="X5" s="3"/>
      <c r="Y5" s="3"/>
    </row>
    <row r="6" spans="1:25" ht="15.75" thickBot="1" x14ac:dyDescent="0.3">
      <c r="A6" s="49">
        <v>4</v>
      </c>
      <c r="B6" s="131"/>
      <c r="C6" s="110" t="s">
        <v>112</v>
      </c>
      <c r="D6" s="28" t="s">
        <v>113</v>
      </c>
      <c r="E6" s="8" t="s">
        <v>10</v>
      </c>
      <c r="F6" s="8" t="s">
        <v>114</v>
      </c>
      <c r="G6" s="8" t="s">
        <v>115</v>
      </c>
      <c r="H6" s="27" t="s">
        <v>111</v>
      </c>
      <c r="I6" s="8" t="s">
        <v>119</v>
      </c>
      <c r="J6" s="10">
        <v>2</v>
      </c>
      <c r="K6" s="9">
        <f t="shared" si="2"/>
        <v>10</v>
      </c>
      <c r="L6" s="4">
        <f t="shared" si="3"/>
        <v>2000</v>
      </c>
      <c r="M6" s="4">
        <f t="shared" si="4"/>
        <v>10000</v>
      </c>
      <c r="N6" s="11" t="s">
        <v>98</v>
      </c>
      <c r="O6" s="20">
        <v>0.56999999999999995</v>
      </c>
      <c r="P6" s="20">
        <f t="shared" si="5"/>
        <v>1.1399999999999999</v>
      </c>
      <c r="Q6" s="20">
        <v>0.40300000000000002</v>
      </c>
      <c r="R6" s="20">
        <f t="shared" si="0"/>
        <v>4.03</v>
      </c>
      <c r="S6" s="76">
        <v>0.16696</v>
      </c>
      <c r="T6" s="75">
        <f t="shared" si="6"/>
        <v>333.92</v>
      </c>
      <c r="U6" s="76">
        <v>0.16696</v>
      </c>
      <c r="V6" s="75">
        <f t="shared" si="1"/>
        <v>1669.6</v>
      </c>
      <c r="W6" s="12"/>
      <c r="X6" s="3"/>
      <c r="Y6" s="3"/>
    </row>
    <row r="7" spans="1:25" ht="15.75" thickBot="1" x14ac:dyDescent="0.3">
      <c r="A7" s="49">
        <v>5</v>
      </c>
      <c r="B7" s="131"/>
      <c r="C7" s="110" t="s">
        <v>116</v>
      </c>
      <c r="D7" s="53" t="s">
        <v>224</v>
      </c>
      <c r="E7" s="8" t="s">
        <v>5</v>
      </c>
      <c r="F7" s="8" t="s">
        <v>117</v>
      </c>
      <c r="G7" s="8" t="s">
        <v>118</v>
      </c>
      <c r="H7" s="27" t="s">
        <v>111</v>
      </c>
      <c r="I7" s="8" t="s">
        <v>120</v>
      </c>
      <c r="J7" s="10">
        <v>7</v>
      </c>
      <c r="K7" s="9">
        <f t="shared" si="2"/>
        <v>35</v>
      </c>
      <c r="L7" s="4">
        <f t="shared" si="3"/>
        <v>7000</v>
      </c>
      <c r="M7" s="4">
        <f t="shared" si="4"/>
        <v>35000</v>
      </c>
      <c r="N7" s="11" t="s">
        <v>98</v>
      </c>
      <c r="O7" s="20">
        <v>0.27</v>
      </c>
      <c r="P7" s="20">
        <f t="shared" si="5"/>
        <v>1.8900000000000001</v>
      </c>
      <c r="Q7" s="20">
        <v>0.184</v>
      </c>
      <c r="R7" s="20">
        <f t="shared" si="0"/>
        <v>6.4399999999999995</v>
      </c>
      <c r="S7" s="76">
        <v>5.6590000000000001E-2</v>
      </c>
      <c r="T7" s="75">
        <f t="shared" si="6"/>
        <v>396.13</v>
      </c>
      <c r="U7" s="76">
        <v>5.6590000000000001E-2</v>
      </c>
      <c r="V7" s="75">
        <f t="shared" si="1"/>
        <v>1980.65</v>
      </c>
      <c r="W7" s="12"/>
      <c r="X7" s="3"/>
      <c r="Y7" s="3"/>
    </row>
    <row r="8" spans="1:25" ht="15.75" thickBot="1" x14ac:dyDescent="0.3">
      <c r="A8" s="49">
        <v>6</v>
      </c>
      <c r="B8" s="131"/>
      <c r="C8" s="110" t="s">
        <v>121</v>
      </c>
      <c r="D8" s="28" t="s">
        <v>122</v>
      </c>
      <c r="E8" s="8" t="s">
        <v>10</v>
      </c>
      <c r="F8" s="8" t="s">
        <v>123</v>
      </c>
      <c r="G8" s="8" t="s">
        <v>7</v>
      </c>
      <c r="H8" s="27"/>
      <c r="I8" s="8" t="s">
        <v>126</v>
      </c>
      <c r="J8" s="10">
        <v>1</v>
      </c>
      <c r="K8" s="9">
        <f t="shared" si="2"/>
        <v>5</v>
      </c>
      <c r="L8" s="4">
        <f t="shared" si="3"/>
        <v>1000</v>
      </c>
      <c r="M8" s="4">
        <f t="shared" si="4"/>
        <v>5000</v>
      </c>
      <c r="N8" s="11" t="s">
        <v>288</v>
      </c>
      <c r="O8" s="20">
        <v>1.08</v>
      </c>
      <c r="P8" s="20">
        <f t="shared" si="5"/>
        <v>1.08</v>
      </c>
      <c r="Q8" s="20">
        <v>1.08</v>
      </c>
      <c r="R8" s="20">
        <f t="shared" si="0"/>
        <v>5.4</v>
      </c>
      <c r="S8" s="76">
        <v>0.39215</v>
      </c>
      <c r="T8" s="75">
        <f t="shared" si="6"/>
        <v>392.15</v>
      </c>
      <c r="U8" s="76">
        <v>0.39215</v>
      </c>
      <c r="V8" s="75">
        <f t="shared" si="1"/>
        <v>1960.75</v>
      </c>
      <c r="W8" s="12"/>
      <c r="X8" s="3"/>
      <c r="Y8" s="3"/>
    </row>
    <row r="9" spans="1:25" ht="15.75" thickBot="1" x14ac:dyDescent="0.3">
      <c r="A9" s="49">
        <v>7</v>
      </c>
      <c r="B9" s="131"/>
      <c r="C9" s="110" t="s">
        <v>128</v>
      </c>
      <c r="D9" s="28" t="s">
        <v>129</v>
      </c>
      <c r="E9" s="8" t="s">
        <v>130</v>
      </c>
      <c r="F9" s="8" t="s">
        <v>131</v>
      </c>
      <c r="G9" s="8" t="s">
        <v>17</v>
      </c>
      <c r="H9" s="27" t="s">
        <v>261</v>
      </c>
      <c r="I9" s="8" t="s">
        <v>127</v>
      </c>
      <c r="J9" s="10">
        <v>2</v>
      </c>
      <c r="K9" s="9">
        <f t="shared" si="2"/>
        <v>10</v>
      </c>
      <c r="L9" s="4">
        <f t="shared" si="3"/>
        <v>2000</v>
      </c>
      <c r="M9" s="4">
        <f t="shared" si="4"/>
        <v>10000</v>
      </c>
      <c r="N9" s="11" t="s">
        <v>98</v>
      </c>
      <c r="O9" s="20">
        <v>0.59</v>
      </c>
      <c r="P9" s="20">
        <f t="shared" si="5"/>
        <v>1.18</v>
      </c>
      <c r="Q9" s="20">
        <v>0.41899999999999998</v>
      </c>
      <c r="R9" s="20">
        <f t="shared" si="0"/>
        <v>4.1899999999999995</v>
      </c>
      <c r="S9" s="76">
        <v>0.1736</v>
      </c>
      <c r="T9" s="75">
        <f t="shared" si="6"/>
        <v>347.2</v>
      </c>
      <c r="U9" s="76">
        <v>0.1736</v>
      </c>
      <c r="V9" s="75">
        <f t="shared" si="1"/>
        <v>1736</v>
      </c>
      <c r="W9" s="12"/>
      <c r="X9" s="3"/>
      <c r="Y9" s="3"/>
    </row>
    <row r="10" spans="1:25" ht="26.25" thickBot="1" x14ac:dyDescent="0.3">
      <c r="A10" s="49">
        <v>8</v>
      </c>
      <c r="B10" s="131"/>
      <c r="C10" s="110" t="s">
        <v>132</v>
      </c>
      <c r="D10" s="53" t="s">
        <v>226</v>
      </c>
      <c r="E10" s="8" t="s">
        <v>102</v>
      </c>
      <c r="F10" s="104" t="s">
        <v>299</v>
      </c>
      <c r="G10" s="107" t="s">
        <v>307</v>
      </c>
      <c r="H10" s="27" t="s">
        <v>133</v>
      </c>
      <c r="I10" s="8" t="s">
        <v>134</v>
      </c>
      <c r="J10" s="10">
        <v>3</v>
      </c>
      <c r="K10" s="9">
        <f t="shared" si="2"/>
        <v>15</v>
      </c>
      <c r="L10" s="4">
        <f t="shared" si="3"/>
        <v>3000</v>
      </c>
      <c r="M10" s="4">
        <f t="shared" si="4"/>
        <v>15000</v>
      </c>
      <c r="N10" s="11" t="s">
        <v>98</v>
      </c>
      <c r="O10" s="20">
        <v>1.1100000000000001</v>
      </c>
      <c r="P10" s="20">
        <f t="shared" si="5"/>
        <v>3.33</v>
      </c>
      <c r="Q10" s="20">
        <v>0.84699999999999998</v>
      </c>
      <c r="R10" s="20">
        <f t="shared" si="0"/>
        <v>12.705</v>
      </c>
      <c r="S10" s="76">
        <v>0.46926000000000001</v>
      </c>
      <c r="T10" s="75">
        <f t="shared" si="6"/>
        <v>1407.78</v>
      </c>
      <c r="U10" s="76">
        <v>0.46926000000000001</v>
      </c>
      <c r="V10" s="75">
        <f t="shared" si="1"/>
        <v>7038.9000000000005</v>
      </c>
      <c r="W10" s="12"/>
      <c r="X10" s="3"/>
      <c r="Y10" s="3"/>
    </row>
    <row r="11" spans="1:25" ht="26.25" thickBot="1" x14ac:dyDescent="0.3">
      <c r="A11" s="49">
        <v>9</v>
      </c>
      <c r="B11" s="131"/>
      <c r="C11" s="110" t="s">
        <v>124</v>
      </c>
      <c r="D11" s="28" t="s">
        <v>125</v>
      </c>
      <c r="E11" s="8" t="s">
        <v>102</v>
      </c>
      <c r="F11" s="8" t="s">
        <v>298</v>
      </c>
      <c r="G11" s="107" t="s">
        <v>307</v>
      </c>
      <c r="H11" s="27" t="s">
        <v>111</v>
      </c>
      <c r="I11" s="8" t="s">
        <v>127</v>
      </c>
      <c r="J11" s="10">
        <v>1</v>
      </c>
      <c r="K11" s="9">
        <f t="shared" si="2"/>
        <v>5</v>
      </c>
      <c r="L11" s="4">
        <f t="shared" si="3"/>
        <v>1000</v>
      </c>
      <c r="M11" s="4">
        <f t="shared" si="4"/>
        <v>5000</v>
      </c>
      <c r="N11" s="11" t="s">
        <v>98</v>
      </c>
      <c r="O11" s="20">
        <v>0.49</v>
      </c>
      <c r="P11" s="20">
        <f t="shared" si="5"/>
        <v>0.49</v>
      </c>
      <c r="Q11" s="20">
        <v>0.49</v>
      </c>
      <c r="R11" s="20">
        <f t="shared" si="0"/>
        <v>2.4500000000000002</v>
      </c>
      <c r="S11" s="76">
        <v>0.13086999999999999</v>
      </c>
      <c r="T11" s="75">
        <f t="shared" si="6"/>
        <v>130.86999999999998</v>
      </c>
      <c r="U11" s="76">
        <v>0.13086999999999999</v>
      </c>
      <c r="V11" s="75">
        <f t="shared" si="1"/>
        <v>654.34999999999991</v>
      </c>
      <c r="W11" s="12"/>
      <c r="X11" s="3"/>
      <c r="Y11" s="3"/>
    </row>
    <row r="12" spans="1:25" ht="15.75" thickBot="1" x14ac:dyDescent="0.3">
      <c r="A12" s="49">
        <v>10</v>
      </c>
      <c r="B12" s="132"/>
      <c r="C12" s="114" t="s">
        <v>14</v>
      </c>
      <c r="D12" s="45" t="s">
        <v>15</v>
      </c>
      <c r="E12" s="13" t="s">
        <v>5</v>
      </c>
      <c r="F12" s="13" t="s">
        <v>16</v>
      </c>
      <c r="G12" s="13" t="s">
        <v>17</v>
      </c>
      <c r="H12" s="35" t="s">
        <v>262</v>
      </c>
      <c r="I12" s="13" t="s">
        <v>13</v>
      </c>
      <c r="J12" s="15">
        <v>3</v>
      </c>
      <c r="K12" s="14">
        <f t="shared" si="2"/>
        <v>15</v>
      </c>
      <c r="L12" s="4">
        <f t="shared" si="3"/>
        <v>3000</v>
      </c>
      <c r="M12" s="4">
        <f t="shared" si="4"/>
        <v>15000</v>
      </c>
      <c r="N12" s="16" t="s">
        <v>98</v>
      </c>
      <c r="O12" s="21">
        <v>0.1</v>
      </c>
      <c r="P12" s="21">
        <f t="shared" si="5"/>
        <v>0.30000000000000004</v>
      </c>
      <c r="Q12" s="21">
        <v>1.7000000000000001E-2</v>
      </c>
      <c r="R12" s="21">
        <f t="shared" si="0"/>
        <v>0.255</v>
      </c>
      <c r="S12" s="77">
        <v>3.8800000000000002E-3</v>
      </c>
      <c r="T12" s="75">
        <f t="shared" si="6"/>
        <v>11.64</v>
      </c>
      <c r="U12" s="77">
        <v>3.5699999999999998E-3</v>
      </c>
      <c r="V12" s="75">
        <f t="shared" si="1"/>
        <v>53.55</v>
      </c>
      <c r="W12" s="17"/>
      <c r="X12" s="3"/>
      <c r="Y12" s="3"/>
    </row>
    <row r="13" spans="1:25" ht="15.75" thickBot="1" x14ac:dyDescent="0.3">
      <c r="A13" s="49">
        <v>11</v>
      </c>
      <c r="B13" s="130" t="s">
        <v>92</v>
      </c>
      <c r="C13" s="109" t="s">
        <v>19</v>
      </c>
      <c r="D13" s="59" t="s">
        <v>227</v>
      </c>
      <c r="E13" s="1" t="s">
        <v>20</v>
      </c>
      <c r="F13" s="1" t="s">
        <v>18</v>
      </c>
      <c r="G13" s="1" t="s">
        <v>21</v>
      </c>
      <c r="H13" s="26" t="s">
        <v>133</v>
      </c>
      <c r="I13" s="1" t="s">
        <v>133</v>
      </c>
      <c r="J13" s="5">
        <v>4</v>
      </c>
      <c r="K13" s="4">
        <f t="shared" si="2"/>
        <v>20</v>
      </c>
      <c r="L13" s="4">
        <f t="shared" si="3"/>
        <v>4000</v>
      </c>
      <c r="M13" s="4">
        <f t="shared" si="4"/>
        <v>20000</v>
      </c>
      <c r="N13" s="6" t="s">
        <v>98</v>
      </c>
      <c r="O13" s="19">
        <v>0.37</v>
      </c>
      <c r="P13" s="19">
        <f t="shared" si="5"/>
        <v>1.48</v>
      </c>
      <c r="Q13" s="19">
        <v>0.29299999999999998</v>
      </c>
      <c r="R13" s="19">
        <f t="shared" si="0"/>
        <v>5.8599999999999994</v>
      </c>
      <c r="S13" s="75">
        <v>9.7519999999999996E-2</v>
      </c>
      <c r="T13" s="75">
        <f t="shared" si="6"/>
        <v>390.08</v>
      </c>
      <c r="U13" s="75">
        <v>9.7519999999999996E-2</v>
      </c>
      <c r="V13" s="75">
        <f t="shared" si="1"/>
        <v>1950.3999999999999</v>
      </c>
      <c r="W13" s="62"/>
      <c r="X13" s="3"/>
      <c r="Y13" s="3"/>
    </row>
    <row r="14" spans="1:25" ht="15.75" thickBot="1" x14ac:dyDescent="0.3">
      <c r="A14" s="49">
        <v>12</v>
      </c>
      <c r="B14" s="131"/>
      <c r="C14" s="110" t="s">
        <v>135</v>
      </c>
      <c r="D14" s="28" t="s">
        <v>136</v>
      </c>
      <c r="E14" s="8" t="s">
        <v>137</v>
      </c>
      <c r="F14" s="8" t="s">
        <v>138</v>
      </c>
      <c r="G14" s="8" t="s">
        <v>139</v>
      </c>
      <c r="H14" s="27" t="s">
        <v>133</v>
      </c>
      <c r="I14" s="8" t="s">
        <v>133</v>
      </c>
      <c r="J14" s="10">
        <v>2</v>
      </c>
      <c r="K14" s="9">
        <f t="shared" si="2"/>
        <v>10</v>
      </c>
      <c r="L14" s="4">
        <f t="shared" si="3"/>
        <v>2000</v>
      </c>
      <c r="M14" s="4">
        <f t="shared" si="4"/>
        <v>10000</v>
      </c>
      <c r="N14" s="11" t="s">
        <v>98</v>
      </c>
      <c r="O14" s="20">
        <v>0.67</v>
      </c>
      <c r="P14" s="20">
        <f t="shared" si="5"/>
        <v>1.34</v>
      </c>
      <c r="Q14" s="20">
        <v>0.59199999999999997</v>
      </c>
      <c r="R14" s="20">
        <f t="shared" si="0"/>
        <v>5.92</v>
      </c>
      <c r="S14" s="76">
        <v>0.25999</v>
      </c>
      <c r="T14" s="75">
        <f t="shared" si="6"/>
        <v>519.98</v>
      </c>
      <c r="U14" s="76">
        <v>0.25999</v>
      </c>
      <c r="V14" s="75">
        <f t="shared" si="1"/>
        <v>2599.9</v>
      </c>
      <c r="W14" s="12"/>
      <c r="X14" s="3"/>
      <c r="Y14" s="3"/>
    </row>
    <row r="15" spans="1:25" ht="15.75" thickBot="1" x14ac:dyDescent="0.3">
      <c r="A15" s="49">
        <v>13</v>
      </c>
      <c r="B15" s="132"/>
      <c r="C15" s="114" t="s">
        <v>140</v>
      </c>
      <c r="D15" s="45" t="s">
        <v>141</v>
      </c>
      <c r="E15" s="13" t="s">
        <v>142</v>
      </c>
      <c r="F15" s="13" t="s">
        <v>143</v>
      </c>
      <c r="G15" s="13" t="s">
        <v>25</v>
      </c>
      <c r="H15" s="35" t="s">
        <v>133</v>
      </c>
      <c r="I15" s="13" t="s">
        <v>133</v>
      </c>
      <c r="J15" s="15">
        <v>1</v>
      </c>
      <c r="K15" s="14">
        <f t="shared" si="2"/>
        <v>5</v>
      </c>
      <c r="L15" s="4">
        <f t="shared" si="3"/>
        <v>1000</v>
      </c>
      <c r="M15" s="4">
        <f t="shared" si="4"/>
        <v>5000</v>
      </c>
      <c r="N15" s="16" t="s">
        <v>98</v>
      </c>
      <c r="O15" s="21">
        <v>0.26</v>
      </c>
      <c r="P15" s="21">
        <f t="shared" si="5"/>
        <v>0.26</v>
      </c>
      <c r="Q15" s="21">
        <v>0.26</v>
      </c>
      <c r="R15" s="21">
        <f t="shared" si="0"/>
        <v>1.3</v>
      </c>
      <c r="S15" s="77">
        <v>5.049E-2</v>
      </c>
      <c r="T15" s="75">
        <f t="shared" si="6"/>
        <v>50.49</v>
      </c>
      <c r="U15" s="77">
        <v>4.5539999999999997E-2</v>
      </c>
      <c r="V15" s="75">
        <f t="shared" si="1"/>
        <v>227.7</v>
      </c>
      <c r="W15" s="17"/>
      <c r="X15" s="3"/>
      <c r="Y15" s="3"/>
    </row>
    <row r="16" spans="1:25" ht="15.75" thickBot="1" x14ac:dyDescent="0.3">
      <c r="A16" s="49">
        <v>14</v>
      </c>
      <c r="B16" s="130" t="s">
        <v>191</v>
      </c>
      <c r="C16" s="115" t="s">
        <v>184</v>
      </c>
      <c r="D16" s="59" t="s">
        <v>185</v>
      </c>
      <c r="E16" s="36" t="s">
        <v>102</v>
      </c>
      <c r="F16" s="36" t="s">
        <v>186</v>
      </c>
      <c r="G16" s="36" t="s">
        <v>187</v>
      </c>
      <c r="H16" s="37" t="s">
        <v>181</v>
      </c>
      <c r="I16" s="36" t="s">
        <v>192</v>
      </c>
      <c r="J16" s="38">
        <v>1</v>
      </c>
      <c r="K16" s="39">
        <f t="shared" si="2"/>
        <v>5</v>
      </c>
      <c r="L16" s="4">
        <f t="shared" si="3"/>
        <v>1000</v>
      </c>
      <c r="M16" s="4">
        <f t="shared" si="4"/>
        <v>5000</v>
      </c>
      <c r="N16" s="6" t="s">
        <v>98</v>
      </c>
      <c r="O16" s="40">
        <v>0.97</v>
      </c>
      <c r="P16" s="19">
        <f t="shared" si="5"/>
        <v>0.97</v>
      </c>
      <c r="Q16" s="40">
        <v>0.97</v>
      </c>
      <c r="R16" s="19">
        <f t="shared" si="0"/>
        <v>4.8499999999999996</v>
      </c>
      <c r="S16" s="75">
        <v>0.50716000000000006</v>
      </c>
      <c r="T16" s="75">
        <f t="shared" si="6"/>
        <v>507.16000000000008</v>
      </c>
      <c r="U16" s="75">
        <v>0.50716000000000006</v>
      </c>
      <c r="V16" s="75">
        <f t="shared" si="1"/>
        <v>2535.8000000000002</v>
      </c>
      <c r="W16" s="41"/>
      <c r="X16" s="3"/>
      <c r="Y16" s="3"/>
    </row>
    <row r="17" spans="1:25" ht="15.75" thickBot="1" x14ac:dyDescent="0.3">
      <c r="A17" s="49">
        <v>15</v>
      </c>
      <c r="B17" s="132"/>
      <c r="C17" s="113" t="s">
        <v>188</v>
      </c>
      <c r="D17" s="61" t="s">
        <v>189</v>
      </c>
      <c r="E17" s="30" t="s">
        <v>102</v>
      </c>
      <c r="F17" s="30" t="s">
        <v>190</v>
      </c>
      <c r="G17" s="30" t="s">
        <v>7</v>
      </c>
      <c r="H17" s="31" t="s">
        <v>181</v>
      </c>
      <c r="I17" s="30" t="s">
        <v>193</v>
      </c>
      <c r="J17" s="32">
        <v>1</v>
      </c>
      <c r="K17" s="33">
        <f t="shared" si="2"/>
        <v>5</v>
      </c>
      <c r="L17" s="4">
        <f t="shared" si="3"/>
        <v>1000</v>
      </c>
      <c r="M17" s="4">
        <f t="shared" si="4"/>
        <v>5000</v>
      </c>
      <c r="N17" s="16" t="s">
        <v>98</v>
      </c>
      <c r="O17" s="42">
        <v>1.1000000000000001</v>
      </c>
      <c r="P17" s="21">
        <f t="shared" si="5"/>
        <v>1.1000000000000001</v>
      </c>
      <c r="Q17" s="42">
        <v>1.1000000000000001</v>
      </c>
      <c r="R17" s="21">
        <f t="shared" si="0"/>
        <v>5.5</v>
      </c>
      <c r="S17" s="77">
        <v>0.66152</v>
      </c>
      <c r="T17" s="75">
        <f t="shared" si="6"/>
        <v>661.52</v>
      </c>
      <c r="U17" s="77">
        <v>0.66152</v>
      </c>
      <c r="V17" s="75">
        <f t="shared" si="1"/>
        <v>3307.6</v>
      </c>
      <c r="W17" s="34"/>
      <c r="X17" s="3"/>
      <c r="Y17" s="3"/>
    </row>
    <row r="18" spans="1:25" ht="15.75" thickBot="1" x14ac:dyDescent="0.3">
      <c r="A18" s="49">
        <v>16</v>
      </c>
      <c r="B18" s="130" t="s">
        <v>180</v>
      </c>
      <c r="C18" s="109" t="s">
        <v>23</v>
      </c>
      <c r="D18" s="59" t="s">
        <v>228</v>
      </c>
      <c r="E18" s="1" t="s">
        <v>24</v>
      </c>
      <c r="F18" s="1" t="s">
        <v>22</v>
      </c>
      <c r="G18" s="1" t="s">
        <v>25</v>
      </c>
      <c r="H18" s="1" t="s">
        <v>100</v>
      </c>
      <c r="I18" s="1" t="s">
        <v>133</v>
      </c>
      <c r="J18" s="5">
        <v>3</v>
      </c>
      <c r="K18" s="4">
        <f>J18*5</f>
        <v>15</v>
      </c>
      <c r="L18" s="4">
        <f t="shared" si="3"/>
        <v>3000</v>
      </c>
      <c r="M18" s="4">
        <f t="shared" si="4"/>
        <v>15000</v>
      </c>
      <c r="N18" s="6" t="s">
        <v>98</v>
      </c>
      <c r="O18" s="19">
        <v>0.36</v>
      </c>
      <c r="P18" s="19">
        <f>O18*J18</f>
        <v>1.08</v>
      </c>
      <c r="Q18" s="19">
        <v>0.29599999999999999</v>
      </c>
      <c r="R18" s="19">
        <f t="shared" si="0"/>
        <v>4.4399999999999995</v>
      </c>
      <c r="S18" s="75">
        <v>7.0120000000000002E-2</v>
      </c>
      <c r="T18" s="75">
        <f t="shared" si="6"/>
        <v>210.36</v>
      </c>
      <c r="U18" s="75">
        <v>7.0120000000000002E-2</v>
      </c>
      <c r="V18" s="75">
        <f t="shared" si="1"/>
        <v>1051.8</v>
      </c>
      <c r="W18" s="62"/>
      <c r="X18" s="3"/>
      <c r="Y18" s="3"/>
    </row>
    <row r="19" spans="1:25" ht="15.75" thickBot="1" x14ac:dyDescent="0.3">
      <c r="A19" s="49">
        <v>17</v>
      </c>
      <c r="B19" s="132"/>
      <c r="C19" s="114" t="s">
        <v>182</v>
      </c>
      <c r="D19" s="61" t="s">
        <v>229</v>
      </c>
      <c r="E19" s="13" t="s">
        <v>230</v>
      </c>
      <c r="F19" s="13" t="s">
        <v>183</v>
      </c>
      <c r="G19" s="13" t="s">
        <v>96</v>
      </c>
      <c r="H19" s="13" t="s">
        <v>111</v>
      </c>
      <c r="I19" s="13" t="s">
        <v>181</v>
      </c>
      <c r="J19" s="15">
        <v>2</v>
      </c>
      <c r="K19" s="14">
        <f>J19*5</f>
        <v>10</v>
      </c>
      <c r="L19" s="4">
        <f t="shared" si="3"/>
        <v>2000</v>
      </c>
      <c r="M19" s="4">
        <f t="shared" si="4"/>
        <v>10000</v>
      </c>
      <c r="N19" s="16" t="s">
        <v>98</v>
      </c>
      <c r="O19" s="21">
        <v>0.3</v>
      </c>
      <c r="P19" s="19">
        <f>O19*J19</f>
        <v>0.6</v>
      </c>
      <c r="Q19" s="43">
        <v>0.247</v>
      </c>
      <c r="R19" s="19">
        <f t="shared" si="0"/>
        <v>2.4699999999999998</v>
      </c>
      <c r="S19" s="78">
        <v>5.8619999999999998E-2</v>
      </c>
      <c r="T19" s="75">
        <f t="shared" si="6"/>
        <v>117.24</v>
      </c>
      <c r="U19" s="78">
        <v>5.8619999999999998E-2</v>
      </c>
      <c r="V19" s="75">
        <f t="shared" si="1"/>
        <v>586.19999999999993</v>
      </c>
      <c r="W19" s="63"/>
      <c r="X19" s="3"/>
      <c r="Y19" s="3"/>
    </row>
    <row r="20" spans="1:25" ht="15.75" thickBot="1" x14ac:dyDescent="0.3">
      <c r="A20" s="49">
        <v>18</v>
      </c>
      <c r="B20" s="130" t="s">
        <v>93</v>
      </c>
      <c r="C20" s="109" t="s">
        <v>50</v>
      </c>
      <c r="D20" s="44" t="s">
        <v>51</v>
      </c>
      <c r="E20" s="1" t="s">
        <v>52</v>
      </c>
      <c r="F20" s="1" t="s">
        <v>53</v>
      </c>
      <c r="G20" s="1" t="s">
        <v>54</v>
      </c>
      <c r="H20" s="4"/>
      <c r="I20" s="1" t="s">
        <v>49</v>
      </c>
      <c r="J20" s="5">
        <v>3</v>
      </c>
      <c r="K20" s="4">
        <f t="shared" si="2"/>
        <v>15</v>
      </c>
      <c r="L20" s="4">
        <f t="shared" si="3"/>
        <v>3000</v>
      </c>
      <c r="M20" s="4">
        <f t="shared" si="4"/>
        <v>15000</v>
      </c>
      <c r="N20" s="6" t="s">
        <v>98</v>
      </c>
      <c r="O20" s="19">
        <v>0.12</v>
      </c>
      <c r="P20" s="19">
        <f t="shared" si="5"/>
        <v>0.36</v>
      </c>
      <c r="Q20" s="19">
        <v>0.105</v>
      </c>
      <c r="R20" s="19">
        <f t="shared" si="0"/>
        <v>1.575</v>
      </c>
      <c r="S20" s="75">
        <v>1.5299999999999999E-2</v>
      </c>
      <c r="T20" s="75">
        <f t="shared" si="6"/>
        <v>45.9</v>
      </c>
      <c r="U20" s="75">
        <v>1.3679999999999999E-2</v>
      </c>
      <c r="V20" s="75">
        <f t="shared" si="1"/>
        <v>205.2</v>
      </c>
      <c r="W20" s="7"/>
      <c r="X20" s="3"/>
      <c r="Y20" s="3"/>
    </row>
    <row r="21" spans="1:25" ht="15.75" thickBot="1" x14ac:dyDescent="0.3">
      <c r="A21" s="49">
        <v>19</v>
      </c>
      <c r="B21" s="131"/>
      <c r="C21" s="110" t="s">
        <v>56</v>
      </c>
      <c r="D21" s="28" t="s">
        <v>57</v>
      </c>
      <c r="E21" s="8" t="s">
        <v>52</v>
      </c>
      <c r="F21" s="8" t="s">
        <v>58</v>
      </c>
      <c r="G21" s="8" t="s">
        <v>54</v>
      </c>
      <c r="H21" s="8" t="s">
        <v>133</v>
      </c>
      <c r="I21" s="8" t="s">
        <v>55</v>
      </c>
      <c r="J21" s="10">
        <v>4</v>
      </c>
      <c r="K21" s="9">
        <f t="shared" si="2"/>
        <v>20</v>
      </c>
      <c r="L21" s="4">
        <f t="shared" si="3"/>
        <v>4000</v>
      </c>
      <c r="M21" s="4">
        <f t="shared" si="4"/>
        <v>20000</v>
      </c>
      <c r="N21" s="11" t="s">
        <v>98</v>
      </c>
      <c r="O21" s="20">
        <v>0.12</v>
      </c>
      <c r="P21" s="20">
        <f t="shared" si="5"/>
        <v>0.48</v>
      </c>
      <c r="Q21" s="20">
        <v>0.105</v>
      </c>
      <c r="R21" s="20">
        <f t="shared" si="0"/>
        <v>2.1</v>
      </c>
      <c r="S21" s="76">
        <v>1.5299999999999999E-2</v>
      </c>
      <c r="T21" s="75">
        <f t="shared" si="6"/>
        <v>61.199999999999996</v>
      </c>
      <c r="U21" s="76">
        <v>1.3679999999999999E-2</v>
      </c>
      <c r="V21" s="75">
        <f t="shared" si="1"/>
        <v>273.59999999999997</v>
      </c>
      <c r="W21" s="12"/>
      <c r="X21" s="3"/>
      <c r="Y21" s="3"/>
    </row>
    <row r="22" spans="1:25" ht="15.75" thickBot="1" x14ac:dyDescent="0.3">
      <c r="A22" s="49">
        <v>20</v>
      </c>
      <c r="B22" s="131"/>
      <c r="C22" s="110" t="s">
        <v>60</v>
      </c>
      <c r="D22" s="28" t="s">
        <v>146</v>
      </c>
      <c r="E22" s="8" t="s">
        <v>52</v>
      </c>
      <c r="F22" s="8" t="s">
        <v>61</v>
      </c>
      <c r="G22" s="8" t="s">
        <v>54</v>
      </c>
      <c r="H22" s="8" t="s">
        <v>133</v>
      </c>
      <c r="I22" s="8" t="s">
        <v>59</v>
      </c>
      <c r="J22" s="10">
        <v>3</v>
      </c>
      <c r="K22" s="9">
        <f t="shared" si="2"/>
        <v>15</v>
      </c>
      <c r="L22" s="4">
        <f t="shared" si="3"/>
        <v>3000</v>
      </c>
      <c r="M22" s="4">
        <f t="shared" si="4"/>
        <v>15000</v>
      </c>
      <c r="N22" s="11" t="s">
        <v>98</v>
      </c>
      <c r="O22" s="20">
        <v>0.57999999999999996</v>
      </c>
      <c r="P22" s="20">
        <f t="shared" si="5"/>
        <v>1.7399999999999998</v>
      </c>
      <c r="Q22" s="20">
        <v>0.42499999999999999</v>
      </c>
      <c r="R22" s="20">
        <f t="shared" si="0"/>
        <v>6.375</v>
      </c>
      <c r="S22" s="76">
        <v>0.13880000000000001</v>
      </c>
      <c r="T22" s="75">
        <f t="shared" si="6"/>
        <v>416.40000000000003</v>
      </c>
      <c r="U22" s="76">
        <v>0.13300000000000001</v>
      </c>
      <c r="V22" s="75">
        <f t="shared" si="1"/>
        <v>1995</v>
      </c>
      <c r="W22" s="12"/>
      <c r="X22" s="3"/>
      <c r="Y22" s="3"/>
    </row>
    <row r="23" spans="1:25" ht="15.75" thickBot="1" x14ac:dyDescent="0.3">
      <c r="A23" s="49">
        <v>21</v>
      </c>
      <c r="B23" s="131"/>
      <c r="C23" s="110" t="s">
        <v>147</v>
      </c>
      <c r="D23" s="28" t="s">
        <v>148</v>
      </c>
      <c r="E23" s="8" t="s">
        <v>52</v>
      </c>
      <c r="F23" s="8" t="s">
        <v>149</v>
      </c>
      <c r="G23" s="8" t="s">
        <v>54</v>
      </c>
      <c r="H23" s="8" t="s">
        <v>133</v>
      </c>
      <c r="I23" s="8" t="s">
        <v>172</v>
      </c>
      <c r="J23" s="29">
        <v>1</v>
      </c>
      <c r="K23" s="9">
        <f t="shared" si="2"/>
        <v>5</v>
      </c>
      <c r="L23" s="4">
        <f t="shared" si="3"/>
        <v>1000</v>
      </c>
      <c r="M23" s="4">
        <f t="shared" si="4"/>
        <v>5000</v>
      </c>
      <c r="N23" s="11" t="s">
        <v>98</v>
      </c>
      <c r="O23" s="20">
        <v>0.12</v>
      </c>
      <c r="P23" s="20">
        <f t="shared" si="5"/>
        <v>0.12</v>
      </c>
      <c r="Q23" s="20">
        <v>0.12</v>
      </c>
      <c r="R23" s="20">
        <f t="shared" si="0"/>
        <v>0.6</v>
      </c>
      <c r="S23" s="76">
        <v>1.771E-2</v>
      </c>
      <c r="T23" s="75">
        <f t="shared" si="6"/>
        <v>17.71</v>
      </c>
      <c r="U23" s="76">
        <v>1.3679999999999999E-2</v>
      </c>
      <c r="V23" s="75">
        <f t="shared" si="1"/>
        <v>68.399999999999991</v>
      </c>
      <c r="W23" s="12"/>
      <c r="X23" s="3"/>
      <c r="Y23" s="3"/>
    </row>
    <row r="24" spans="1:25" ht="15.75" thickBot="1" x14ac:dyDescent="0.3">
      <c r="A24" s="49">
        <v>22</v>
      </c>
      <c r="B24" s="131"/>
      <c r="C24" s="110" t="s">
        <v>150</v>
      </c>
      <c r="D24" s="28" t="s">
        <v>151</v>
      </c>
      <c r="E24" s="8" t="s">
        <v>52</v>
      </c>
      <c r="F24" s="8" t="s">
        <v>152</v>
      </c>
      <c r="G24" s="8" t="s">
        <v>54</v>
      </c>
      <c r="H24" s="8" t="s">
        <v>133</v>
      </c>
      <c r="I24" s="8" t="s">
        <v>173</v>
      </c>
      <c r="J24" s="29">
        <v>1</v>
      </c>
      <c r="K24" s="9">
        <f t="shared" si="2"/>
        <v>5</v>
      </c>
      <c r="L24" s="4">
        <f t="shared" si="3"/>
        <v>1000</v>
      </c>
      <c r="M24" s="4">
        <f t="shared" si="4"/>
        <v>5000</v>
      </c>
      <c r="N24" s="11" t="s">
        <v>98</v>
      </c>
      <c r="O24" s="20">
        <v>0.11</v>
      </c>
      <c r="P24" s="20">
        <f t="shared" si="5"/>
        <v>0.11</v>
      </c>
      <c r="Q24" s="20">
        <v>0.11</v>
      </c>
      <c r="R24" s="20">
        <f t="shared" si="0"/>
        <v>0.55000000000000004</v>
      </c>
      <c r="S24" s="76">
        <v>1.694E-2</v>
      </c>
      <c r="T24" s="75">
        <f t="shared" si="6"/>
        <v>16.940000000000001</v>
      </c>
      <c r="U24" s="76">
        <v>1.3089999999999999E-2</v>
      </c>
      <c r="V24" s="75">
        <f t="shared" si="1"/>
        <v>65.45</v>
      </c>
      <c r="W24" s="12"/>
      <c r="X24" s="3"/>
      <c r="Y24" s="3"/>
    </row>
    <row r="25" spans="1:25" ht="15.75" thickBot="1" x14ac:dyDescent="0.3">
      <c r="A25" s="49">
        <v>23</v>
      </c>
      <c r="B25" s="131"/>
      <c r="C25" s="110" t="s">
        <v>153</v>
      </c>
      <c r="D25" s="28" t="s">
        <v>154</v>
      </c>
      <c r="E25" s="8" t="s">
        <v>155</v>
      </c>
      <c r="F25" s="8" t="s">
        <v>156</v>
      </c>
      <c r="G25" s="8" t="s">
        <v>157</v>
      </c>
      <c r="H25" s="8" t="s">
        <v>133</v>
      </c>
      <c r="I25" s="8" t="s">
        <v>174</v>
      </c>
      <c r="J25" s="29">
        <v>1</v>
      </c>
      <c r="K25" s="9">
        <f t="shared" si="2"/>
        <v>5</v>
      </c>
      <c r="L25" s="4">
        <f t="shared" si="3"/>
        <v>1000</v>
      </c>
      <c r="M25" s="4">
        <f t="shared" si="4"/>
        <v>5000</v>
      </c>
      <c r="N25" s="11" t="s">
        <v>98</v>
      </c>
      <c r="O25" s="20">
        <v>0.54</v>
      </c>
      <c r="P25" s="20">
        <f t="shared" si="5"/>
        <v>0.54</v>
      </c>
      <c r="Q25" s="20">
        <v>0.54</v>
      </c>
      <c r="R25" s="20">
        <f t="shared" si="0"/>
        <v>2.7</v>
      </c>
      <c r="S25" s="76">
        <v>0.126</v>
      </c>
      <c r="T25" s="75">
        <f t="shared" si="6"/>
        <v>126</v>
      </c>
      <c r="U25" s="76">
        <v>0.126</v>
      </c>
      <c r="V25" s="75">
        <f t="shared" si="1"/>
        <v>630</v>
      </c>
      <c r="W25" s="12"/>
      <c r="X25" s="3"/>
      <c r="Y25" s="3"/>
    </row>
    <row r="26" spans="1:25" ht="15.75" thickBot="1" x14ac:dyDescent="0.3">
      <c r="A26" s="49">
        <v>24</v>
      </c>
      <c r="B26" s="131"/>
      <c r="C26" s="110" t="s">
        <v>158</v>
      </c>
      <c r="D26" s="28" t="s">
        <v>159</v>
      </c>
      <c r="E26" s="8" t="s">
        <v>52</v>
      </c>
      <c r="F26" s="8" t="s">
        <v>160</v>
      </c>
      <c r="G26" s="8" t="s">
        <v>69</v>
      </c>
      <c r="H26" s="8" t="s">
        <v>133</v>
      </c>
      <c r="I26" s="8" t="s">
        <v>175</v>
      </c>
      <c r="J26" s="29">
        <v>1</v>
      </c>
      <c r="K26" s="9">
        <f t="shared" si="2"/>
        <v>5</v>
      </c>
      <c r="L26" s="4">
        <f t="shared" si="3"/>
        <v>1000</v>
      </c>
      <c r="M26" s="4">
        <f t="shared" si="4"/>
        <v>5000</v>
      </c>
      <c r="N26" s="11" t="s">
        <v>98</v>
      </c>
      <c r="O26" s="20">
        <v>0.1</v>
      </c>
      <c r="P26" s="20">
        <f t="shared" si="5"/>
        <v>0.1</v>
      </c>
      <c r="Q26" s="20">
        <v>0.1</v>
      </c>
      <c r="R26" s="20">
        <f t="shared" si="0"/>
        <v>0.5</v>
      </c>
      <c r="S26" s="76">
        <v>4.5700000000000003E-3</v>
      </c>
      <c r="T26" s="75">
        <f t="shared" si="6"/>
        <v>4.57</v>
      </c>
      <c r="U26" s="76">
        <v>3.2799999999999999E-3</v>
      </c>
      <c r="V26" s="75">
        <f t="shared" si="1"/>
        <v>16.399999999999999</v>
      </c>
      <c r="W26" s="12"/>
      <c r="X26" s="3"/>
      <c r="Y26" s="3"/>
    </row>
    <row r="27" spans="1:25" ht="15.75" thickBot="1" x14ac:dyDescent="0.3">
      <c r="A27" s="49">
        <v>25</v>
      </c>
      <c r="B27" s="131"/>
      <c r="C27" s="110" t="s">
        <v>161</v>
      </c>
      <c r="D27" s="28" t="s">
        <v>162</v>
      </c>
      <c r="E27" s="8" t="s">
        <v>52</v>
      </c>
      <c r="F27" s="8" t="s">
        <v>163</v>
      </c>
      <c r="G27" s="8" t="s">
        <v>69</v>
      </c>
      <c r="H27" s="8" t="s">
        <v>133</v>
      </c>
      <c r="I27" s="8" t="s">
        <v>176</v>
      </c>
      <c r="J27" s="29">
        <v>1</v>
      </c>
      <c r="K27" s="9">
        <f t="shared" si="2"/>
        <v>5</v>
      </c>
      <c r="L27" s="4">
        <f t="shared" si="3"/>
        <v>1000</v>
      </c>
      <c r="M27" s="4">
        <f t="shared" si="4"/>
        <v>5000</v>
      </c>
      <c r="N27" s="11" t="s">
        <v>98</v>
      </c>
      <c r="O27" s="20">
        <v>0.1</v>
      </c>
      <c r="P27" s="20">
        <f t="shared" si="5"/>
        <v>0.1</v>
      </c>
      <c r="Q27" s="20">
        <v>0.1</v>
      </c>
      <c r="R27" s="20">
        <f t="shared" si="0"/>
        <v>0.5</v>
      </c>
      <c r="S27" s="76">
        <v>4.5700000000000003E-3</v>
      </c>
      <c r="T27" s="75">
        <f t="shared" si="6"/>
        <v>4.57</v>
      </c>
      <c r="U27" s="76">
        <v>3.2799999999999999E-3</v>
      </c>
      <c r="V27" s="75">
        <f t="shared" si="1"/>
        <v>16.399999999999999</v>
      </c>
      <c r="W27" s="12"/>
      <c r="X27" s="3"/>
      <c r="Y27" s="3"/>
    </row>
    <row r="28" spans="1:25" ht="15.75" thickBot="1" x14ac:dyDescent="0.3">
      <c r="A28" s="49">
        <v>26</v>
      </c>
      <c r="B28" s="131"/>
      <c r="C28" s="110" t="s">
        <v>164</v>
      </c>
      <c r="D28" s="28" t="s">
        <v>165</v>
      </c>
      <c r="E28" s="8" t="s">
        <v>52</v>
      </c>
      <c r="F28" s="8" t="s">
        <v>166</v>
      </c>
      <c r="G28" s="8" t="s">
        <v>69</v>
      </c>
      <c r="H28" s="8" t="s">
        <v>133</v>
      </c>
      <c r="I28" s="8" t="s">
        <v>177</v>
      </c>
      <c r="J28" s="29">
        <v>4</v>
      </c>
      <c r="K28" s="9">
        <f t="shared" si="2"/>
        <v>20</v>
      </c>
      <c r="L28" s="4">
        <f t="shared" si="3"/>
        <v>4000</v>
      </c>
      <c r="M28" s="4">
        <f t="shared" si="4"/>
        <v>20000</v>
      </c>
      <c r="N28" s="11" t="s">
        <v>98</v>
      </c>
      <c r="O28" s="20">
        <v>0.22</v>
      </c>
      <c r="P28" s="20">
        <f t="shared" si="5"/>
        <v>0.88</v>
      </c>
      <c r="Q28" s="20">
        <v>0.183</v>
      </c>
      <c r="R28" s="20">
        <f t="shared" si="0"/>
        <v>3.66</v>
      </c>
      <c r="S28" s="76">
        <v>2.751E-2</v>
      </c>
      <c r="T28" s="75">
        <f t="shared" si="6"/>
        <v>110.03999999999999</v>
      </c>
      <c r="U28" s="76">
        <v>2.5010000000000001E-2</v>
      </c>
      <c r="V28" s="75">
        <f t="shared" si="1"/>
        <v>500.20000000000005</v>
      </c>
      <c r="W28" s="12"/>
      <c r="X28" s="3"/>
      <c r="Y28" s="3"/>
    </row>
    <row r="29" spans="1:25" ht="26.25" thickBot="1" x14ac:dyDescent="0.3">
      <c r="A29" s="49">
        <v>27</v>
      </c>
      <c r="B29" s="131"/>
      <c r="C29" s="111" t="s">
        <v>167</v>
      </c>
      <c r="D29" s="53" t="s">
        <v>231</v>
      </c>
      <c r="E29" s="8" t="s">
        <v>52</v>
      </c>
      <c r="F29" s="8" t="s">
        <v>168</v>
      </c>
      <c r="G29" s="8" t="s">
        <v>65</v>
      </c>
      <c r="H29" s="8" t="s">
        <v>263</v>
      </c>
      <c r="I29" s="8" t="s">
        <v>178</v>
      </c>
      <c r="J29" s="29">
        <v>10</v>
      </c>
      <c r="K29" s="9">
        <v>45</v>
      </c>
      <c r="L29" s="4">
        <f t="shared" si="3"/>
        <v>10000</v>
      </c>
      <c r="M29" s="4">
        <f t="shared" si="4"/>
        <v>50000</v>
      </c>
      <c r="N29" s="11" t="s">
        <v>264</v>
      </c>
      <c r="O29" s="20">
        <v>2.3E-2</v>
      </c>
      <c r="P29" s="20">
        <f t="shared" si="5"/>
        <v>0.22999999999999998</v>
      </c>
      <c r="Q29" s="20">
        <v>2.3E-2</v>
      </c>
      <c r="R29" s="20">
        <f t="shared" si="0"/>
        <v>1.0349999999999999</v>
      </c>
      <c r="S29" s="76">
        <v>3.0599999999999998E-3</v>
      </c>
      <c r="T29" s="75">
        <f t="shared" si="6"/>
        <v>30.599999999999998</v>
      </c>
      <c r="U29" s="76">
        <v>3.0599999999999998E-3</v>
      </c>
      <c r="V29" s="75">
        <f t="shared" si="1"/>
        <v>153</v>
      </c>
      <c r="W29" s="12"/>
      <c r="X29" s="3"/>
      <c r="Y29" s="3"/>
    </row>
    <row r="30" spans="1:25" ht="15.75" thickBot="1" x14ac:dyDescent="0.3">
      <c r="A30" s="49">
        <v>28</v>
      </c>
      <c r="B30" s="131"/>
      <c r="C30" s="110" t="s">
        <v>169</v>
      </c>
      <c r="D30" s="28" t="s">
        <v>170</v>
      </c>
      <c r="E30" s="8" t="s">
        <v>52</v>
      </c>
      <c r="F30" s="8" t="s">
        <v>171</v>
      </c>
      <c r="G30" s="8" t="s">
        <v>54</v>
      </c>
      <c r="H30" s="8" t="s">
        <v>133</v>
      </c>
      <c r="I30" s="8" t="s">
        <v>179</v>
      </c>
      <c r="J30" s="29">
        <v>2</v>
      </c>
      <c r="K30" s="9">
        <f t="shared" si="2"/>
        <v>10</v>
      </c>
      <c r="L30" s="4">
        <f t="shared" si="3"/>
        <v>2000</v>
      </c>
      <c r="M30" s="4">
        <f t="shared" si="4"/>
        <v>10000</v>
      </c>
      <c r="N30" s="11" t="s">
        <v>98</v>
      </c>
      <c r="O30" s="20">
        <v>0.12</v>
      </c>
      <c r="P30" s="20">
        <f t="shared" si="5"/>
        <v>0.24</v>
      </c>
      <c r="Q30" s="20">
        <v>0.105</v>
      </c>
      <c r="R30" s="20">
        <f t="shared" si="0"/>
        <v>1.05</v>
      </c>
      <c r="S30" s="76">
        <v>1.771E-2</v>
      </c>
      <c r="T30" s="75">
        <f t="shared" si="6"/>
        <v>35.42</v>
      </c>
      <c r="U30" s="76">
        <v>1.3679999999999999E-2</v>
      </c>
      <c r="V30" s="75">
        <f t="shared" si="1"/>
        <v>136.79999999999998</v>
      </c>
      <c r="W30" s="12"/>
      <c r="X30" s="3"/>
      <c r="Y30" s="3"/>
    </row>
    <row r="31" spans="1:25" ht="15.75" thickBot="1" x14ac:dyDescent="0.3">
      <c r="A31" s="49">
        <v>29</v>
      </c>
      <c r="B31" s="131"/>
      <c r="C31" s="110" t="s">
        <v>63</v>
      </c>
      <c r="D31" s="28" t="s">
        <v>145</v>
      </c>
      <c r="E31" s="8" t="s">
        <v>52</v>
      </c>
      <c r="F31" s="8" t="s">
        <v>64</v>
      </c>
      <c r="G31" s="8" t="s">
        <v>65</v>
      </c>
      <c r="H31" s="8" t="s">
        <v>133</v>
      </c>
      <c r="I31" s="8" t="s">
        <v>62</v>
      </c>
      <c r="J31" s="10">
        <v>8</v>
      </c>
      <c r="K31" s="9">
        <f t="shared" si="2"/>
        <v>40</v>
      </c>
      <c r="L31" s="4">
        <f t="shared" si="3"/>
        <v>8000</v>
      </c>
      <c r="M31" s="4">
        <f t="shared" si="4"/>
        <v>40000</v>
      </c>
      <c r="N31" s="11" t="s">
        <v>98</v>
      </c>
      <c r="O31" s="20">
        <v>0.57999999999999996</v>
      </c>
      <c r="P31" s="20">
        <f t="shared" si="5"/>
        <v>4.6399999999999997</v>
      </c>
      <c r="Q31" s="20">
        <v>0.41699999999999998</v>
      </c>
      <c r="R31" s="20">
        <f t="shared" si="0"/>
        <v>16.68</v>
      </c>
      <c r="S31" s="76">
        <v>0.1108</v>
      </c>
      <c r="T31" s="75">
        <f t="shared" si="6"/>
        <v>886.4</v>
      </c>
      <c r="U31" s="76">
        <v>0.1108</v>
      </c>
      <c r="V31" s="75">
        <f t="shared" si="1"/>
        <v>4432</v>
      </c>
      <c r="W31" s="12"/>
      <c r="X31" s="3"/>
      <c r="Y31" s="3"/>
    </row>
    <row r="32" spans="1:25" ht="15.75" thickBot="1" x14ac:dyDescent="0.3">
      <c r="A32" s="49">
        <v>30</v>
      </c>
      <c r="B32" s="131"/>
      <c r="C32" s="110" t="s">
        <v>67</v>
      </c>
      <c r="D32" s="53" t="s">
        <v>232</v>
      </c>
      <c r="E32" s="8" t="s">
        <v>52</v>
      </c>
      <c r="F32" s="8" t="s">
        <v>68</v>
      </c>
      <c r="G32" s="8" t="s">
        <v>69</v>
      </c>
      <c r="H32" s="8" t="s">
        <v>133</v>
      </c>
      <c r="I32" s="8" t="s">
        <v>66</v>
      </c>
      <c r="J32" s="10">
        <v>2</v>
      </c>
      <c r="K32" s="9">
        <f t="shared" si="2"/>
        <v>10</v>
      </c>
      <c r="L32" s="4">
        <f t="shared" si="3"/>
        <v>2000</v>
      </c>
      <c r="M32" s="4">
        <f t="shared" si="4"/>
        <v>10000</v>
      </c>
      <c r="N32" s="11" t="s">
        <v>98</v>
      </c>
      <c r="O32" s="20">
        <v>0.22</v>
      </c>
      <c r="P32" s="20">
        <f t="shared" si="5"/>
        <v>0.44</v>
      </c>
      <c r="Q32" s="20">
        <v>0.183</v>
      </c>
      <c r="R32" s="20">
        <f t="shared" si="0"/>
        <v>1.83</v>
      </c>
      <c r="S32" s="76">
        <v>3.0020000000000002E-2</v>
      </c>
      <c r="T32" s="75">
        <f t="shared" si="6"/>
        <v>60.040000000000006</v>
      </c>
      <c r="U32" s="76">
        <v>2.5010000000000001E-2</v>
      </c>
      <c r="V32" s="75">
        <f t="shared" si="1"/>
        <v>250.10000000000002</v>
      </c>
      <c r="W32" s="12"/>
      <c r="X32" s="3"/>
      <c r="Y32" s="3"/>
    </row>
    <row r="33" spans="1:25" ht="15.75" thickBot="1" x14ac:dyDescent="0.3">
      <c r="A33" s="49">
        <v>31</v>
      </c>
      <c r="B33" s="131"/>
      <c r="C33" s="110" t="s">
        <v>71</v>
      </c>
      <c r="D33" s="28" t="s">
        <v>72</v>
      </c>
      <c r="E33" s="8" t="s">
        <v>52</v>
      </c>
      <c r="F33" s="8" t="s">
        <v>73</v>
      </c>
      <c r="G33" s="8" t="s">
        <v>69</v>
      </c>
      <c r="H33" s="8" t="s">
        <v>133</v>
      </c>
      <c r="I33" s="8" t="s">
        <v>70</v>
      </c>
      <c r="J33" s="10">
        <v>1</v>
      </c>
      <c r="K33" s="9">
        <f t="shared" si="2"/>
        <v>5</v>
      </c>
      <c r="L33" s="4">
        <f t="shared" si="3"/>
        <v>1000</v>
      </c>
      <c r="M33" s="4">
        <f t="shared" si="4"/>
        <v>5000</v>
      </c>
      <c r="N33" s="11" t="s">
        <v>98</v>
      </c>
      <c r="O33" s="20">
        <v>0.22</v>
      </c>
      <c r="P33" s="20">
        <f t="shared" si="5"/>
        <v>0.22</v>
      </c>
      <c r="Q33" s="20">
        <v>0.22</v>
      </c>
      <c r="R33" s="20">
        <f t="shared" si="0"/>
        <v>1.1000000000000001</v>
      </c>
      <c r="S33" s="76">
        <v>3.0020000000000002E-2</v>
      </c>
      <c r="T33" s="75">
        <f t="shared" si="6"/>
        <v>30.020000000000003</v>
      </c>
      <c r="U33" s="76">
        <v>2.5010000000000001E-2</v>
      </c>
      <c r="V33" s="75">
        <f t="shared" si="1"/>
        <v>125.05000000000001</v>
      </c>
      <c r="W33" s="12"/>
      <c r="X33" s="3"/>
      <c r="Y33" s="3"/>
    </row>
    <row r="34" spans="1:25" ht="15.75" thickBot="1" x14ac:dyDescent="0.3">
      <c r="A34" s="49">
        <v>32</v>
      </c>
      <c r="B34" s="131"/>
      <c r="C34" s="112" t="s">
        <v>265</v>
      </c>
      <c r="D34" s="53" t="s">
        <v>233</v>
      </c>
      <c r="E34" s="50" t="s">
        <v>234</v>
      </c>
      <c r="F34" s="50" t="s">
        <v>235</v>
      </c>
      <c r="G34" s="8" t="s">
        <v>65</v>
      </c>
      <c r="H34" s="8" t="s">
        <v>260</v>
      </c>
      <c r="I34" s="8" t="s">
        <v>259</v>
      </c>
      <c r="J34" s="10">
        <v>1</v>
      </c>
      <c r="K34" s="9">
        <v>10</v>
      </c>
      <c r="L34" s="4">
        <f t="shared" si="3"/>
        <v>1000</v>
      </c>
      <c r="M34" s="4">
        <f t="shared" si="4"/>
        <v>5000</v>
      </c>
      <c r="N34" s="11" t="s">
        <v>98</v>
      </c>
      <c r="O34" s="20">
        <v>0.1</v>
      </c>
      <c r="P34" s="20">
        <f t="shared" si="5"/>
        <v>0.1</v>
      </c>
      <c r="Q34" s="20">
        <v>2.4E-2</v>
      </c>
      <c r="R34" s="20">
        <f t="shared" si="0"/>
        <v>0.24</v>
      </c>
      <c r="S34" s="76">
        <v>4.3600000000000002E-3</v>
      </c>
      <c r="T34" s="75">
        <f t="shared" si="6"/>
        <v>4.3600000000000003</v>
      </c>
      <c r="U34" s="76">
        <v>3.7799999999999999E-3</v>
      </c>
      <c r="V34" s="75">
        <f t="shared" si="1"/>
        <v>18.899999999999999</v>
      </c>
      <c r="W34" s="12"/>
      <c r="X34" s="3"/>
      <c r="Y34" s="3"/>
    </row>
    <row r="35" spans="1:25" ht="15.75" thickBot="1" x14ac:dyDescent="0.3">
      <c r="A35" s="49">
        <v>33</v>
      </c>
      <c r="B35" s="132"/>
      <c r="C35" s="113" t="s">
        <v>236</v>
      </c>
      <c r="D35" s="61" t="s">
        <v>237</v>
      </c>
      <c r="E35" s="30" t="s">
        <v>52</v>
      </c>
      <c r="F35" s="30" t="s">
        <v>238</v>
      </c>
      <c r="G35" s="13" t="s">
        <v>65</v>
      </c>
      <c r="H35" s="13" t="s">
        <v>257</v>
      </c>
      <c r="I35" s="13" t="s">
        <v>258</v>
      </c>
      <c r="J35" s="15">
        <v>1</v>
      </c>
      <c r="K35" s="14">
        <v>10</v>
      </c>
      <c r="L35" s="4">
        <f t="shared" si="3"/>
        <v>1000</v>
      </c>
      <c r="M35" s="4">
        <f t="shared" si="4"/>
        <v>5000</v>
      </c>
      <c r="N35" s="16" t="s">
        <v>98</v>
      </c>
      <c r="O35" s="21">
        <v>0.1</v>
      </c>
      <c r="P35" s="21">
        <f t="shared" si="5"/>
        <v>0.1</v>
      </c>
      <c r="Q35" s="21">
        <v>1.2999999999999999E-2</v>
      </c>
      <c r="R35" s="21">
        <f t="shared" ref="R35:R54" si="7">Q35*K35</f>
        <v>0.13</v>
      </c>
      <c r="S35" s="77">
        <v>2.4399999999999999E-3</v>
      </c>
      <c r="T35" s="75">
        <f t="shared" si="6"/>
        <v>2.44</v>
      </c>
      <c r="U35" s="77">
        <v>1.75E-3</v>
      </c>
      <c r="V35" s="75">
        <f t="shared" ref="V35:V56" si="8">U35*M35</f>
        <v>8.75</v>
      </c>
      <c r="W35" s="17"/>
      <c r="X35" s="3"/>
      <c r="Y35" s="3"/>
    </row>
    <row r="36" spans="1:25" ht="15.75" thickBot="1" x14ac:dyDescent="0.3">
      <c r="A36" s="49">
        <v>34</v>
      </c>
      <c r="B36" s="130" t="s">
        <v>94</v>
      </c>
      <c r="C36" s="109" t="s">
        <v>194</v>
      </c>
      <c r="D36" s="44" t="s">
        <v>195</v>
      </c>
      <c r="E36" s="44" t="s">
        <v>211</v>
      </c>
      <c r="F36" s="44" t="s">
        <v>196</v>
      </c>
      <c r="G36" s="1" t="s">
        <v>197</v>
      </c>
      <c r="H36" s="1" t="s">
        <v>133</v>
      </c>
      <c r="I36" s="1" t="s">
        <v>133</v>
      </c>
      <c r="J36" s="5">
        <v>1</v>
      </c>
      <c r="K36" s="4">
        <f t="shared" si="2"/>
        <v>5</v>
      </c>
      <c r="L36" s="4">
        <f t="shared" si="3"/>
        <v>1000</v>
      </c>
      <c r="M36" s="4">
        <f t="shared" si="4"/>
        <v>5000</v>
      </c>
      <c r="N36" s="6" t="s">
        <v>98</v>
      </c>
      <c r="O36" s="19">
        <v>2.85</v>
      </c>
      <c r="P36" s="19">
        <f t="shared" si="5"/>
        <v>2.85</v>
      </c>
      <c r="Q36" s="19">
        <v>2.85</v>
      </c>
      <c r="R36" s="19">
        <f t="shared" si="7"/>
        <v>14.25</v>
      </c>
      <c r="S36" s="75">
        <v>1.7802199999999999</v>
      </c>
      <c r="T36" s="75">
        <f t="shared" si="6"/>
        <v>1780.2199999999998</v>
      </c>
      <c r="U36" s="75">
        <v>1.7802199999999999</v>
      </c>
      <c r="V36" s="75">
        <f t="shared" si="8"/>
        <v>8901.1</v>
      </c>
      <c r="W36" s="7"/>
      <c r="X36" s="3"/>
      <c r="Y36" s="3"/>
    </row>
    <row r="37" spans="1:25" ht="15.75" thickBot="1" x14ac:dyDescent="0.3">
      <c r="A37" s="49">
        <v>35</v>
      </c>
      <c r="B37" s="131"/>
      <c r="C37" s="110" t="s">
        <v>198</v>
      </c>
      <c r="D37" s="28" t="s">
        <v>199</v>
      </c>
      <c r="E37" s="28" t="s">
        <v>212</v>
      </c>
      <c r="F37" s="28" t="s">
        <v>200</v>
      </c>
      <c r="G37" s="8" t="s">
        <v>201</v>
      </c>
      <c r="H37" s="8" t="s">
        <v>133</v>
      </c>
      <c r="I37" s="8" t="s">
        <v>133</v>
      </c>
      <c r="J37" s="10">
        <v>1</v>
      </c>
      <c r="K37" s="9">
        <f t="shared" si="2"/>
        <v>5</v>
      </c>
      <c r="L37" s="4">
        <f t="shared" si="3"/>
        <v>1000</v>
      </c>
      <c r="M37" s="4">
        <f t="shared" si="4"/>
        <v>5000</v>
      </c>
      <c r="N37" s="66" t="s">
        <v>288</v>
      </c>
      <c r="O37" s="20">
        <v>3.68</v>
      </c>
      <c r="P37" s="20">
        <f t="shared" si="5"/>
        <v>3.68</v>
      </c>
      <c r="Q37" s="20">
        <v>3.68</v>
      </c>
      <c r="R37" s="20">
        <f t="shared" si="7"/>
        <v>18.400000000000002</v>
      </c>
      <c r="S37" s="76">
        <v>2.77</v>
      </c>
      <c r="T37" s="75">
        <f t="shared" si="6"/>
        <v>2770</v>
      </c>
      <c r="U37" s="76">
        <v>2.77</v>
      </c>
      <c r="V37" s="75">
        <f t="shared" si="8"/>
        <v>13850</v>
      </c>
      <c r="W37" s="12"/>
      <c r="X37" s="3"/>
      <c r="Y37" s="3"/>
    </row>
    <row r="38" spans="1:25" ht="15.75" thickBot="1" x14ac:dyDescent="0.3">
      <c r="A38" s="49">
        <v>36</v>
      </c>
      <c r="B38" s="131"/>
      <c r="C38" s="110" t="s">
        <v>202</v>
      </c>
      <c r="D38" s="28" t="s">
        <v>203</v>
      </c>
      <c r="E38" s="28" t="s">
        <v>213</v>
      </c>
      <c r="F38" s="28" t="s">
        <v>204</v>
      </c>
      <c r="G38" s="8" t="s">
        <v>96</v>
      </c>
      <c r="H38" s="8" t="s">
        <v>133</v>
      </c>
      <c r="I38" s="8" t="s">
        <v>133</v>
      </c>
      <c r="J38" s="10">
        <v>1</v>
      </c>
      <c r="K38" s="9">
        <f t="shared" si="2"/>
        <v>5</v>
      </c>
      <c r="L38" s="4">
        <f t="shared" si="3"/>
        <v>1000</v>
      </c>
      <c r="M38" s="4">
        <f t="shared" si="4"/>
        <v>5000</v>
      </c>
      <c r="N38" s="11" t="s">
        <v>98</v>
      </c>
      <c r="O38" s="20">
        <v>0.43</v>
      </c>
      <c r="P38" s="20">
        <f t="shared" si="5"/>
        <v>0.43</v>
      </c>
      <c r="Q38" s="20">
        <v>0.43</v>
      </c>
      <c r="R38" s="20">
        <f t="shared" si="7"/>
        <v>2.15</v>
      </c>
      <c r="S38" s="76">
        <v>9.2160000000000006E-2</v>
      </c>
      <c r="T38" s="75">
        <f t="shared" si="6"/>
        <v>92.160000000000011</v>
      </c>
      <c r="U38" s="76">
        <v>9.2160000000000006E-2</v>
      </c>
      <c r="V38" s="75">
        <f t="shared" si="8"/>
        <v>460.8</v>
      </c>
      <c r="W38" s="12"/>
      <c r="X38" s="3"/>
      <c r="Y38" s="3"/>
    </row>
    <row r="39" spans="1:25" ht="15.75" thickBot="1" x14ac:dyDescent="0.3">
      <c r="A39" s="49">
        <v>37</v>
      </c>
      <c r="B39" s="131"/>
      <c r="C39" s="119" t="s">
        <v>215</v>
      </c>
      <c r="D39" s="28" t="s">
        <v>205</v>
      </c>
      <c r="E39" s="28" t="s">
        <v>216</v>
      </c>
      <c r="F39" s="28" t="s">
        <v>206</v>
      </c>
      <c r="G39" s="8" t="s">
        <v>214</v>
      </c>
      <c r="H39" s="8" t="s">
        <v>133</v>
      </c>
      <c r="I39" s="8" t="s">
        <v>133</v>
      </c>
      <c r="J39" s="10">
        <v>1</v>
      </c>
      <c r="K39" s="9">
        <f t="shared" si="2"/>
        <v>5</v>
      </c>
      <c r="L39" s="4">
        <f t="shared" si="3"/>
        <v>1000</v>
      </c>
      <c r="M39" s="4">
        <f t="shared" si="4"/>
        <v>5000</v>
      </c>
      <c r="N39" s="11" t="s">
        <v>288</v>
      </c>
      <c r="O39" s="20">
        <v>3.7</v>
      </c>
      <c r="P39" s="20">
        <f t="shared" si="5"/>
        <v>3.7</v>
      </c>
      <c r="Q39" s="20">
        <v>3.7</v>
      </c>
      <c r="R39" s="20">
        <f t="shared" si="7"/>
        <v>18.5</v>
      </c>
      <c r="S39" s="76">
        <v>4.3499999999999996</v>
      </c>
      <c r="T39" s="75">
        <f t="shared" si="6"/>
        <v>4350</v>
      </c>
      <c r="U39" s="76">
        <v>4.3499999999999996</v>
      </c>
      <c r="V39" s="75">
        <f t="shared" si="8"/>
        <v>21750</v>
      </c>
      <c r="W39" s="64"/>
      <c r="X39" s="3"/>
      <c r="Y39" s="3"/>
    </row>
    <row r="40" spans="1:25" ht="15.75" thickBot="1" x14ac:dyDescent="0.3">
      <c r="A40" s="49">
        <v>38</v>
      </c>
      <c r="B40" s="131"/>
      <c r="C40" s="120" t="s">
        <v>242</v>
      </c>
      <c r="D40" s="53" t="s">
        <v>243</v>
      </c>
      <c r="E40" s="53" t="s">
        <v>245</v>
      </c>
      <c r="F40" s="53" t="s">
        <v>244</v>
      </c>
      <c r="G40" s="50" t="s">
        <v>197</v>
      </c>
      <c r="H40" s="8" t="s">
        <v>133</v>
      </c>
      <c r="I40" s="8" t="s">
        <v>133</v>
      </c>
      <c r="J40" s="10">
        <v>1</v>
      </c>
      <c r="K40" s="9">
        <f t="shared" si="2"/>
        <v>5</v>
      </c>
      <c r="L40" s="4">
        <f t="shared" si="3"/>
        <v>1000</v>
      </c>
      <c r="M40" s="4">
        <f t="shared" si="4"/>
        <v>5000</v>
      </c>
      <c r="N40" s="11" t="s">
        <v>288</v>
      </c>
      <c r="O40" s="20">
        <v>5.62</v>
      </c>
      <c r="P40" s="20">
        <f t="shared" si="5"/>
        <v>5.62</v>
      </c>
      <c r="Q40" s="20">
        <v>5.62</v>
      </c>
      <c r="R40" s="20">
        <f t="shared" si="7"/>
        <v>28.1</v>
      </c>
      <c r="S40" s="76">
        <v>3.34</v>
      </c>
      <c r="T40" s="75">
        <f t="shared" si="6"/>
        <v>3340</v>
      </c>
      <c r="U40" s="76">
        <v>3.34</v>
      </c>
      <c r="V40" s="75">
        <f t="shared" si="8"/>
        <v>16700</v>
      </c>
      <c r="W40" s="12"/>
      <c r="X40" s="3"/>
      <c r="Y40" s="3"/>
    </row>
    <row r="41" spans="1:25" ht="15.75" thickBot="1" x14ac:dyDescent="0.3">
      <c r="A41" s="49">
        <v>39</v>
      </c>
      <c r="B41" s="131"/>
      <c r="C41" s="120" t="s">
        <v>239</v>
      </c>
      <c r="D41" s="53" t="s">
        <v>77</v>
      </c>
      <c r="E41" s="53" t="s">
        <v>240</v>
      </c>
      <c r="F41" s="53" t="s">
        <v>97</v>
      </c>
      <c r="G41" s="50" t="s">
        <v>96</v>
      </c>
      <c r="H41" s="8" t="s">
        <v>241</v>
      </c>
      <c r="I41" s="8" t="s">
        <v>133</v>
      </c>
      <c r="J41" s="10">
        <v>1</v>
      </c>
      <c r="K41" s="9">
        <f t="shared" si="2"/>
        <v>5</v>
      </c>
      <c r="L41" s="4">
        <f t="shared" si="3"/>
        <v>1000</v>
      </c>
      <c r="M41" s="4">
        <f t="shared" si="4"/>
        <v>5000</v>
      </c>
      <c r="N41" s="11" t="s">
        <v>98</v>
      </c>
      <c r="O41" s="20">
        <v>0.6</v>
      </c>
      <c r="P41" s="20">
        <f t="shared" si="5"/>
        <v>0.6</v>
      </c>
      <c r="Q41" s="20">
        <v>0.6</v>
      </c>
      <c r="R41" s="20">
        <f t="shared" si="7"/>
        <v>3</v>
      </c>
      <c r="S41" s="76">
        <v>0.26355000000000001</v>
      </c>
      <c r="T41" s="75">
        <f t="shared" si="6"/>
        <v>263.55</v>
      </c>
      <c r="U41" s="76">
        <v>0.26355000000000001</v>
      </c>
      <c r="V41" s="75">
        <f t="shared" si="8"/>
        <v>1317.75</v>
      </c>
      <c r="W41" s="64"/>
      <c r="X41" s="3"/>
      <c r="Y41" s="3"/>
    </row>
    <row r="42" spans="1:25" ht="15.75" thickBot="1" x14ac:dyDescent="0.3">
      <c r="A42" s="49">
        <v>40</v>
      </c>
      <c r="B42" s="131"/>
      <c r="C42" s="110" t="s">
        <v>207</v>
      </c>
      <c r="D42" s="28" t="s">
        <v>208</v>
      </c>
      <c r="E42" s="28" t="s">
        <v>217</v>
      </c>
      <c r="F42" s="28" t="s">
        <v>209</v>
      </c>
      <c r="G42" s="8" t="s">
        <v>210</v>
      </c>
      <c r="H42" s="8" t="s">
        <v>133</v>
      </c>
      <c r="I42" s="8" t="s">
        <v>133</v>
      </c>
      <c r="J42" s="10">
        <v>1</v>
      </c>
      <c r="K42" s="9">
        <f t="shared" si="2"/>
        <v>5</v>
      </c>
      <c r="L42" s="4">
        <f t="shared" si="3"/>
        <v>1000</v>
      </c>
      <c r="M42" s="4">
        <f t="shared" si="4"/>
        <v>5000</v>
      </c>
      <c r="N42" s="11" t="s">
        <v>288</v>
      </c>
      <c r="O42" s="20">
        <v>1.08</v>
      </c>
      <c r="P42" s="20">
        <f t="shared" si="5"/>
        <v>1.08</v>
      </c>
      <c r="Q42" s="20">
        <v>1.08</v>
      </c>
      <c r="R42" s="20">
        <f t="shared" si="7"/>
        <v>5.4</v>
      </c>
      <c r="S42" s="76">
        <v>0.49909999999999999</v>
      </c>
      <c r="T42" s="75">
        <f t="shared" si="6"/>
        <v>499.09999999999997</v>
      </c>
      <c r="U42" s="76">
        <v>0.49909999999999999</v>
      </c>
      <c r="V42" s="75">
        <f t="shared" si="8"/>
        <v>2495.5</v>
      </c>
      <c r="W42" s="12"/>
      <c r="X42" s="3"/>
      <c r="Y42" s="3"/>
    </row>
    <row r="43" spans="1:25" ht="15.75" thickBot="1" x14ac:dyDescent="0.3">
      <c r="A43" s="49">
        <v>42</v>
      </c>
      <c r="B43" s="130" t="s">
        <v>95</v>
      </c>
      <c r="C43" s="48" t="s">
        <v>247</v>
      </c>
      <c r="D43" s="59" t="s">
        <v>248</v>
      </c>
      <c r="E43" s="44" t="s">
        <v>102</v>
      </c>
      <c r="F43" s="59" t="s">
        <v>251</v>
      </c>
      <c r="G43" s="36" t="s">
        <v>48</v>
      </c>
      <c r="H43" s="1" t="s">
        <v>241</v>
      </c>
      <c r="I43" s="1" t="s">
        <v>181</v>
      </c>
      <c r="J43" s="5">
        <v>1</v>
      </c>
      <c r="K43" s="4">
        <f t="shared" si="2"/>
        <v>5</v>
      </c>
      <c r="L43" s="4">
        <f t="shared" si="3"/>
        <v>1000</v>
      </c>
      <c r="M43" s="4">
        <f t="shared" si="4"/>
        <v>5000</v>
      </c>
      <c r="N43" s="6" t="s">
        <v>98</v>
      </c>
      <c r="O43" s="19">
        <v>0.13</v>
      </c>
      <c r="P43" s="19">
        <f t="shared" si="5"/>
        <v>0.13</v>
      </c>
      <c r="Q43" s="19">
        <v>0.13</v>
      </c>
      <c r="R43" s="19">
        <f t="shared" si="7"/>
        <v>0.65</v>
      </c>
      <c r="S43" s="75">
        <v>6.2399999999999997E-2</v>
      </c>
      <c r="T43" s="75">
        <f t="shared" si="6"/>
        <v>62.4</v>
      </c>
      <c r="U43" s="75">
        <v>6.2399999999999997E-2</v>
      </c>
      <c r="V43" s="75">
        <f t="shared" si="8"/>
        <v>312</v>
      </c>
      <c r="W43" s="7"/>
      <c r="X43" s="3"/>
      <c r="Y43" s="3"/>
    </row>
    <row r="44" spans="1:25" ht="15.75" thickBot="1" x14ac:dyDescent="0.3">
      <c r="A44" s="49">
        <v>43</v>
      </c>
      <c r="B44" s="131"/>
      <c r="C44" s="51" t="s">
        <v>249</v>
      </c>
      <c r="D44" s="53" t="s">
        <v>250</v>
      </c>
      <c r="E44" s="28" t="s">
        <v>102</v>
      </c>
      <c r="F44" s="53" t="s">
        <v>252</v>
      </c>
      <c r="G44" s="50" t="s">
        <v>48</v>
      </c>
      <c r="H44" s="8" t="s">
        <v>241</v>
      </c>
      <c r="I44" s="8" t="s">
        <v>253</v>
      </c>
      <c r="J44" s="10">
        <v>1</v>
      </c>
      <c r="K44" s="9">
        <f t="shared" si="2"/>
        <v>5</v>
      </c>
      <c r="L44" s="4">
        <f t="shared" si="3"/>
        <v>1000</v>
      </c>
      <c r="M44" s="4">
        <f t="shared" si="4"/>
        <v>5000</v>
      </c>
      <c r="N44" s="11" t="s">
        <v>98</v>
      </c>
      <c r="O44" s="20">
        <v>0.13</v>
      </c>
      <c r="P44" s="20">
        <f t="shared" si="5"/>
        <v>0.13</v>
      </c>
      <c r="Q44" s="20">
        <v>0.13</v>
      </c>
      <c r="R44" s="20">
        <f t="shared" si="7"/>
        <v>0.65</v>
      </c>
      <c r="S44" s="76">
        <v>6.0999999999999999E-2</v>
      </c>
      <c r="T44" s="75">
        <f t="shared" si="6"/>
        <v>61</v>
      </c>
      <c r="U44" s="76">
        <v>6.0999999999999999E-2</v>
      </c>
      <c r="V44" s="75">
        <f t="shared" si="8"/>
        <v>305</v>
      </c>
      <c r="W44" s="12"/>
      <c r="X44" s="3"/>
      <c r="Y44" s="3"/>
    </row>
    <row r="45" spans="1:25" ht="15.75" thickBot="1" x14ac:dyDescent="0.3">
      <c r="A45" s="49">
        <v>44</v>
      </c>
      <c r="B45" s="131"/>
      <c r="C45" s="46" t="s">
        <v>27</v>
      </c>
      <c r="D45" s="28" t="s">
        <v>28</v>
      </c>
      <c r="E45" s="28" t="s">
        <v>102</v>
      </c>
      <c r="F45" s="28" t="s">
        <v>26</v>
      </c>
      <c r="G45" s="8" t="s">
        <v>29</v>
      </c>
      <c r="H45" s="8" t="s">
        <v>133</v>
      </c>
      <c r="I45" s="8" t="s">
        <v>133</v>
      </c>
      <c r="J45" s="10">
        <v>1</v>
      </c>
      <c r="K45" s="9">
        <f t="shared" si="2"/>
        <v>5</v>
      </c>
      <c r="L45" s="4">
        <f t="shared" si="3"/>
        <v>1000</v>
      </c>
      <c r="M45" s="4">
        <f t="shared" si="4"/>
        <v>5000</v>
      </c>
      <c r="N45" s="18" t="s">
        <v>99</v>
      </c>
      <c r="O45" s="52">
        <v>4</v>
      </c>
      <c r="P45" s="20">
        <f t="shared" si="5"/>
        <v>4</v>
      </c>
      <c r="Q45" s="52">
        <v>4</v>
      </c>
      <c r="R45" s="20">
        <f t="shared" si="7"/>
        <v>20</v>
      </c>
      <c r="S45" s="76">
        <v>2.87</v>
      </c>
      <c r="T45" s="75">
        <f t="shared" si="6"/>
        <v>2870</v>
      </c>
      <c r="U45" s="76">
        <v>2.2000000000000002</v>
      </c>
      <c r="V45" s="75">
        <f t="shared" si="8"/>
        <v>11000</v>
      </c>
      <c r="W45" s="12"/>
      <c r="X45" s="3"/>
      <c r="Y45" s="3"/>
    </row>
    <row r="46" spans="1:25" ht="15.75" thickBot="1" x14ac:dyDescent="0.3">
      <c r="A46" s="49">
        <v>45</v>
      </c>
      <c r="B46" s="131"/>
      <c r="C46" s="46" t="s">
        <v>31</v>
      </c>
      <c r="D46" s="28" t="s">
        <v>32</v>
      </c>
      <c r="E46" s="28" t="s">
        <v>102</v>
      </c>
      <c r="F46" s="28" t="s">
        <v>30</v>
      </c>
      <c r="G46" s="8" t="s">
        <v>33</v>
      </c>
      <c r="H46" s="8" t="s">
        <v>133</v>
      </c>
      <c r="I46" s="8" t="s">
        <v>133</v>
      </c>
      <c r="J46" s="10">
        <v>2</v>
      </c>
      <c r="K46" s="9">
        <f t="shared" si="2"/>
        <v>10</v>
      </c>
      <c r="L46" s="4">
        <f t="shared" si="3"/>
        <v>2000</v>
      </c>
      <c r="M46" s="4">
        <f t="shared" si="4"/>
        <v>10000</v>
      </c>
      <c r="N46" s="18" t="s">
        <v>98</v>
      </c>
      <c r="O46" s="20">
        <v>0.46</v>
      </c>
      <c r="P46" s="20">
        <f t="shared" si="5"/>
        <v>0.92</v>
      </c>
      <c r="Q46" s="20">
        <v>0.43099999999999999</v>
      </c>
      <c r="R46" s="20">
        <f t="shared" si="7"/>
        <v>4.3099999999999996</v>
      </c>
      <c r="S46" s="76">
        <v>0.21525</v>
      </c>
      <c r="T46" s="75">
        <f t="shared" si="6"/>
        <v>430.5</v>
      </c>
      <c r="U46" s="76">
        <v>0.21525</v>
      </c>
      <c r="V46" s="75">
        <f t="shared" si="8"/>
        <v>2152.5</v>
      </c>
      <c r="W46" s="12"/>
      <c r="X46" s="3"/>
      <c r="Y46" s="3"/>
    </row>
    <row r="47" spans="1:25" ht="15.75" thickBot="1" x14ac:dyDescent="0.3">
      <c r="A47" s="49">
        <v>46</v>
      </c>
      <c r="B47" s="131"/>
      <c r="C47" s="116" t="s">
        <v>35</v>
      </c>
      <c r="D47" s="117" t="s">
        <v>36</v>
      </c>
      <c r="E47" s="117" t="s">
        <v>102</v>
      </c>
      <c r="F47" s="117" t="s">
        <v>34</v>
      </c>
      <c r="G47" s="117" t="s">
        <v>37</v>
      </c>
      <c r="H47" s="117" t="s">
        <v>101</v>
      </c>
      <c r="I47" s="8" t="s">
        <v>133</v>
      </c>
      <c r="J47" s="10">
        <v>1</v>
      </c>
      <c r="K47" s="9">
        <f t="shared" si="2"/>
        <v>5</v>
      </c>
      <c r="L47" s="4">
        <f t="shared" si="3"/>
        <v>1000</v>
      </c>
      <c r="M47" s="4">
        <f t="shared" si="4"/>
        <v>5000</v>
      </c>
      <c r="N47" s="18" t="s">
        <v>98</v>
      </c>
      <c r="O47" s="20">
        <v>9</v>
      </c>
      <c r="P47" s="20">
        <f t="shared" si="5"/>
        <v>9</v>
      </c>
      <c r="Q47" s="20">
        <v>9</v>
      </c>
      <c r="R47" s="20">
        <f t="shared" si="7"/>
        <v>45</v>
      </c>
      <c r="S47" s="76">
        <v>5.3606499999999997</v>
      </c>
      <c r="T47" s="75">
        <f t="shared" si="6"/>
        <v>5360.65</v>
      </c>
      <c r="U47" s="76">
        <v>5.3606499999999997</v>
      </c>
      <c r="V47" s="75">
        <f t="shared" si="8"/>
        <v>26803.25</v>
      </c>
      <c r="W47" s="118" t="s">
        <v>308</v>
      </c>
      <c r="X47" s="3"/>
      <c r="Y47" s="3"/>
    </row>
    <row r="48" spans="1:25" ht="15.75" thickBot="1" x14ac:dyDescent="0.3">
      <c r="A48" s="49">
        <v>47</v>
      </c>
      <c r="B48" s="131"/>
      <c r="C48" s="46" t="s">
        <v>39</v>
      </c>
      <c r="D48" s="28" t="s">
        <v>40</v>
      </c>
      <c r="E48" s="28" t="s">
        <v>102</v>
      </c>
      <c r="F48" s="28" t="s">
        <v>38</v>
      </c>
      <c r="G48" s="8" t="s">
        <v>144</v>
      </c>
      <c r="H48" s="27" t="s">
        <v>266</v>
      </c>
      <c r="I48" s="8" t="s">
        <v>133</v>
      </c>
      <c r="J48" s="10">
        <v>1</v>
      </c>
      <c r="K48" s="9">
        <f t="shared" si="2"/>
        <v>5</v>
      </c>
      <c r="L48" s="4">
        <f t="shared" si="3"/>
        <v>1000</v>
      </c>
      <c r="M48" s="4">
        <f t="shared" si="4"/>
        <v>5000</v>
      </c>
      <c r="N48" s="18" t="s">
        <v>98</v>
      </c>
      <c r="O48" s="20">
        <v>1.32</v>
      </c>
      <c r="P48" s="20">
        <f t="shared" si="5"/>
        <v>1.32</v>
      </c>
      <c r="Q48" s="20">
        <v>1.32</v>
      </c>
      <c r="R48" s="20">
        <f t="shared" si="7"/>
        <v>6.6000000000000005</v>
      </c>
      <c r="S48" s="76">
        <v>0.85492000000000001</v>
      </c>
      <c r="T48" s="75">
        <f t="shared" si="6"/>
        <v>854.92</v>
      </c>
      <c r="U48" s="76">
        <v>0.85492000000000001</v>
      </c>
      <c r="V48" s="75">
        <f t="shared" si="8"/>
        <v>4274.6000000000004</v>
      </c>
      <c r="W48" s="12"/>
      <c r="X48" s="3"/>
      <c r="Y48" s="3"/>
    </row>
    <row r="49" spans="1:25" ht="15.75" thickBot="1" x14ac:dyDescent="0.3">
      <c r="A49" s="49">
        <v>48</v>
      </c>
      <c r="B49" s="131"/>
      <c r="C49" s="46" t="s">
        <v>42</v>
      </c>
      <c r="D49" s="28" t="s">
        <v>43</v>
      </c>
      <c r="E49" s="28" t="s">
        <v>102</v>
      </c>
      <c r="F49" s="28" t="s">
        <v>41</v>
      </c>
      <c r="G49" s="8" t="s">
        <v>44</v>
      </c>
      <c r="H49" s="27" t="s">
        <v>266</v>
      </c>
      <c r="I49" s="8" t="s">
        <v>133</v>
      </c>
      <c r="J49" s="10">
        <v>1</v>
      </c>
      <c r="K49" s="9">
        <f t="shared" si="2"/>
        <v>5</v>
      </c>
      <c r="L49" s="4">
        <f t="shared" si="3"/>
        <v>1000</v>
      </c>
      <c r="M49" s="4">
        <f t="shared" si="4"/>
        <v>5000</v>
      </c>
      <c r="N49" s="18" t="s">
        <v>98</v>
      </c>
      <c r="O49" s="20">
        <v>0.44</v>
      </c>
      <c r="P49" s="20">
        <f t="shared" si="5"/>
        <v>0.44</v>
      </c>
      <c r="Q49" s="20">
        <v>0.44</v>
      </c>
      <c r="R49" s="20">
        <f t="shared" si="7"/>
        <v>2.2000000000000002</v>
      </c>
      <c r="S49" s="76">
        <v>0.27350000000000002</v>
      </c>
      <c r="T49" s="75">
        <f t="shared" si="6"/>
        <v>273.5</v>
      </c>
      <c r="U49" s="76">
        <v>0.27350000000000002</v>
      </c>
      <c r="V49" s="75">
        <f t="shared" si="8"/>
        <v>1367.5</v>
      </c>
      <c r="W49" s="12"/>
      <c r="X49" s="3"/>
      <c r="Y49" s="3"/>
    </row>
    <row r="50" spans="1:25" ht="15.75" thickBot="1" x14ac:dyDescent="0.3">
      <c r="A50" s="49">
        <v>49</v>
      </c>
      <c r="B50" s="131"/>
      <c r="C50" s="46" t="s">
        <v>46</v>
      </c>
      <c r="D50" s="28" t="s">
        <v>47</v>
      </c>
      <c r="E50" s="28" t="s">
        <v>102</v>
      </c>
      <c r="F50" s="28" t="s">
        <v>45</v>
      </c>
      <c r="G50" s="8" t="s">
        <v>48</v>
      </c>
      <c r="H50" s="27" t="s">
        <v>266</v>
      </c>
      <c r="I50" s="8" t="s">
        <v>133</v>
      </c>
      <c r="J50" s="10">
        <v>1</v>
      </c>
      <c r="K50" s="9">
        <f t="shared" si="2"/>
        <v>5</v>
      </c>
      <c r="L50" s="4">
        <f t="shared" si="3"/>
        <v>1000</v>
      </c>
      <c r="M50" s="4">
        <f t="shared" si="4"/>
        <v>5000</v>
      </c>
      <c r="N50" s="18" t="s">
        <v>98</v>
      </c>
      <c r="O50" s="20">
        <v>0.99</v>
      </c>
      <c r="P50" s="20">
        <f t="shared" si="5"/>
        <v>0.99</v>
      </c>
      <c r="Q50" s="20">
        <v>0.99</v>
      </c>
      <c r="R50" s="20">
        <f t="shared" si="7"/>
        <v>4.95</v>
      </c>
      <c r="S50" s="76">
        <v>0.67200000000000004</v>
      </c>
      <c r="T50" s="75">
        <f t="shared" si="6"/>
        <v>672</v>
      </c>
      <c r="U50" s="76">
        <v>0.67200000000000004</v>
      </c>
      <c r="V50" s="75">
        <f t="shared" si="8"/>
        <v>3360</v>
      </c>
      <c r="W50" s="12"/>
      <c r="X50" s="3"/>
      <c r="Y50" s="3"/>
    </row>
    <row r="51" spans="1:25" ht="39.75" thickBot="1" x14ac:dyDescent="0.3">
      <c r="A51" s="49">
        <v>50</v>
      </c>
      <c r="B51" s="131"/>
      <c r="C51" s="106" t="s">
        <v>304</v>
      </c>
      <c r="D51" s="53" t="s">
        <v>246</v>
      </c>
      <c r="E51" s="8" t="s">
        <v>102</v>
      </c>
      <c r="F51" s="105" t="s">
        <v>301</v>
      </c>
      <c r="G51" s="8" t="s">
        <v>305</v>
      </c>
      <c r="H51" s="27" t="s">
        <v>266</v>
      </c>
      <c r="I51" s="8" t="s">
        <v>133</v>
      </c>
      <c r="J51" s="10">
        <v>3</v>
      </c>
      <c r="K51" s="9">
        <f t="shared" si="2"/>
        <v>15</v>
      </c>
      <c r="L51" s="4">
        <f t="shared" si="3"/>
        <v>3000</v>
      </c>
      <c r="M51" s="4">
        <f t="shared" si="4"/>
        <v>15000</v>
      </c>
      <c r="N51" s="18"/>
      <c r="O51" s="20">
        <v>0.16200000000000001</v>
      </c>
      <c r="P51" s="20">
        <f t="shared" si="5"/>
        <v>0.48599999999999999</v>
      </c>
      <c r="Q51" s="20">
        <v>0.16200000000000001</v>
      </c>
      <c r="R51" s="20">
        <f t="shared" si="7"/>
        <v>2.4300000000000002</v>
      </c>
      <c r="S51" s="76">
        <v>9.8299999999999998E-2</v>
      </c>
      <c r="T51" s="75">
        <f t="shared" si="6"/>
        <v>294.89999999999998</v>
      </c>
      <c r="U51" s="76">
        <v>9.8299999999999998E-2</v>
      </c>
      <c r="V51" s="75">
        <f t="shared" si="8"/>
        <v>1474.5</v>
      </c>
      <c r="W51" s="12" t="s">
        <v>306</v>
      </c>
      <c r="X51" s="3"/>
      <c r="Y51" s="3"/>
    </row>
    <row r="52" spans="1:25" ht="15.75" thickBot="1" x14ac:dyDescent="0.3">
      <c r="A52" s="49">
        <v>51</v>
      </c>
      <c r="B52" s="131"/>
      <c r="C52" s="47" t="s">
        <v>303</v>
      </c>
      <c r="D52" s="28" t="s">
        <v>218</v>
      </c>
      <c r="E52" s="8" t="s">
        <v>102</v>
      </c>
      <c r="F52" s="8" t="s">
        <v>300</v>
      </c>
      <c r="G52" s="8" t="s">
        <v>302</v>
      </c>
      <c r="H52" s="27" t="s">
        <v>266</v>
      </c>
      <c r="I52" s="8" t="s">
        <v>133</v>
      </c>
      <c r="J52" s="10">
        <v>1</v>
      </c>
      <c r="K52" s="9">
        <f t="shared" si="2"/>
        <v>5</v>
      </c>
      <c r="L52" s="4">
        <f t="shared" si="3"/>
        <v>1000</v>
      </c>
      <c r="M52" s="4">
        <f t="shared" si="4"/>
        <v>5000</v>
      </c>
      <c r="N52" s="18"/>
      <c r="O52" s="20">
        <v>1.8448</v>
      </c>
      <c r="P52" s="20">
        <f t="shared" si="5"/>
        <v>1.8448</v>
      </c>
      <c r="Q52" s="20">
        <v>1.8448</v>
      </c>
      <c r="R52" s="20">
        <f t="shared" si="7"/>
        <v>9.2240000000000002</v>
      </c>
      <c r="S52" s="76">
        <v>1.052</v>
      </c>
      <c r="T52" s="75">
        <f t="shared" si="6"/>
        <v>1052</v>
      </c>
      <c r="U52" s="76">
        <v>1.052</v>
      </c>
      <c r="V52" s="75">
        <f t="shared" si="8"/>
        <v>5260</v>
      </c>
      <c r="W52" s="12" t="s">
        <v>306</v>
      </c>
      <c r="X52" s="3"/>
      <c r="Y52" s="3"/>
    </row>
    <row r="53" spans="1:25" ht="15.75" thickBot="1" x14ac:dyDescent="0.3">
      <c r="A53" s="49">
        <v>52</v>
      </c>
      <c r="B53" s="131"/>
      <c r="C53" s="46" t="s">
        <v>219</v>
      </c>
      <c r="D53" s="28" t="s">
        <v>220</v>
      </c>
      <c r="E53" s="8" t="s">
        <v>102</v>
      </c>
      <c r="F53" s="8" t="s">
        <v>221</v>
      </c>
      <c r="G53" s="8" t="s">
        <v>222</v>
      </c>
      <c r="H53" s="27" t="s">
        <v>266</v>
      </c>
      <c r="I53" s="8" t="s">
        <v>133</v>
      </c>
      <c r="J53" s="10">
        <v>1</v>
      </c>
      <c r="K53" s="9">
        <f t="shared" si="2"/>
        <v>5</v>
      </c>
      <c r="L53" s="4">
        <f t="shared" si="3"/>
        <v>1000</v>
      </c>
      <c r="M53" s="4">
        <f t="shared" si="4"/>
        <v>5000</v>
      </c>
      <c r="N53" s="18" t="s">
        <v>98</v>
      </c>
      <c r="O53" s="20">
        <v>0.19</v>
      </c>
      <c r="P53" s="20">
        <f t="shared" si="5"/>
        <v>0.19</v>
      </c>
      <c r="Q53" s="20">
        <v>0.19</v>
      </c>
      <c r="R53" s="20">
        <f t="shared" si="7"/>
        <v>0.95</v>
      </c>
      <c r="S53" s="79">
        <v>8.0750000000000002E-2</v>
      </c>
      <c r="T53" s="75">
        <f t="shared" si="6"/>
        <v>80.75</v>
      </c>
      <c r="U53" s="79">
        <v>6.9209999999999994E-2</v>
      </c>
      <c r="V53" s="75">
        <f t="shared" si="8"/>
        <v>346.04999999999995</v>
      </c>
      <c r="W53" s="63"/>
      <c r="X53" s="3"/>
      <c r="Y53" s="3"/>
    </row>
    <row r="54" spans="1:25" ht="64.5" thickBot="1" x14ac:dyDescent="0.3">
      <c r="A54" s="49">
        <v>53</v>
      </c>
      <c r="B54" s="131"/>
      <c r="C54" s="65" t="s">
        <v>254</v>
      </c>
      <c r="D54" s="54" t="s">
        <v>255</v>
      </c>
      <c r="E54" s="54" t="s">
        <v>102</v>
      </c>
      <c r="F54" s="55" t="s">
        <v>256</v>
      </c>
      <c r="G54" s="56" t="s">
        <v>103</v>
      </c>
      <c r="H54" s="56" t="s">
        <v>103</v>
      </c>
      <c r="I54" s="56" t="s">
        <v>181</v>
      </c>
      <c r="J54" s="57">
        <v>32</v>
      </c>
      <c r="K54" s="57">
        <f t="shared" si="2"/>
        <v>160</v>
      </c>
      <c r="L54" s="81">
        <f t="shared" si="3"/>
        <v>32000</v>
      </c>
      <c r="M54" s="81">
        <f t="shared" si="4"/>
        <v>160000</v>
      </c>
      <c r="N54" s="56" t="s">
        <v>103</v>
      </c>
      <c r="O54" s="56" t="s">
        <v>103</v>
      </c>
      <c r="P54" s="56" t="s">
        <v>103</v>
      </c>
      <c r="Q54" s="56" t="s">
        <v>103</v>
      </c>
      <c r="R54" s="58" t="e">
        <f t="shared" si="7"/>
        <v>#VALUE!</v>
      </c>
      <c r="S54" s="80"/>
      <c r="T54" s="82">
        <f t="shared" si="6"/>
        <v>0</v>
      </c>
      <c r="U54" s="80"/>
      <c r="V54" s="82">
        <f t="shared" si="8"/>
        <v>0</v>
      </c>
      <c r="W54" s="60" t="s">
        <v>104</v>
      </c>
      <c r="X54" s="3"/>
      <c r="Y54" s="3"/>
    </row>
    <row r="55" spans="1:25" ht="15.75" thickBot="1" x14ac:dyDescent="0.3">
      <c r="A55" s="49">
        <v>54</v>
      </c>
      <c r="B55" s="131"/>
      <c r="C55" s="72" t="s">
        <v>75</v>
      </c>
      <c r="D55" s="73" t="s">
        <v>76</v>
      </c>
      <c r="E55" s="73" t="s">
        <v>102</v>
      </c>
      <c r="F55" s="84" t="s">
        <v>74</v>
      </c>
      <c r="G55" s="85" t="s">
        <v>103</v>
      </c>
      <c r="H55" s="85" t="s">
        <v>103</v>
      </c>
      <c r="I55" s="85" t="s">
        <v>253</v>
      </c>
      <c r="J55" s="86">
        <v>1</v>
      </c>
      <c r="K55" s="86">
        <v>20</v>
      </c>
      <c r="L55" s="87">
        <f t="shared" si="3"/>
        <v>1000</v>
      </c>
      <c r="M55" s="87">
        <f t="shared" si="4"/>
        <v>5000</v>
      </c>
      <c r="N55" s="85" t="s">
        <v>103</v>
      </c>
      <c r="O55" s="88" t="s">
        <v>103</v>
      </c>
      <c r="P55" s="88" t="s">
        <v>103</v>
      </c>
      <c r="Q55" s="88" t="s">
        <v>103</v>
      </c>
      <c r="R55" s="88" t="s">
        <v>103</v>
      </c>
      <c r="S55" s="89"/>
      <c r="T55" s="90">
        <f t="shared" si="6"/>
        <v>0</v>
      </c>
      <c r="U55" s="89"/>
      <c r="V55" s="90">
        <f t="shared" si="8"/>
        <v>0</v>
      </c>
      <c r="W55" s="91" t="s">
        <v>104</v>
      </c>
      <c r="X55" s="3"/>
      <c r="Y55" s="3"/>
    </row>
    <row r="56" spans="1:25" ht="15.75" customHeight="1" thickBot="1" x14ac:dyDescent="0.3">
      <c r="A56" s="70">
        <v>55</v>
      </c>
      <c r="B56" s="123" t="s">
        <v>267</v>
      </c>
      <c r="C56" s="92" t="s">
        <v>271</v>
      </c>
      <c r="D56" s="26" t="s">
        <v>266</v>
      </c>
      <c r="E56" s="1" t="s">
        <v>102</v>
      </c>
      <c r="F56" s="1" t="s">
        <v>269</v>
      </c>
      <c r="G56" s="1" t="s">
        <v>268</v>
      </c>
      <c r="H56" s="26" t="s">
        <v>266</v>
      </c>
      <c r="I56" s="1" t="s">
        <v>133</v>
      </c>
      <c r="J56" s="5">
        <v>2</v>
      </c>
      <c r="K56" s="4">
        <f t="shared" ref="K56:K58" si="9">J56*5</f>
        <v>10</v>
      </c>
      <c r="L56" s="4">
        <f t="shared" si="3"/>
        <v>2000</v>
      </c>
      <c r="M56" s="4">
        <f t="shared" si="4"/>
        <v>10000</v>
      </c>
      <c r="N56" s="93" t="s">
        <v>270</v>
      </c>
      <c r="O56" s="19">
        <v>23.99</v>
      </c>
      <c r="P56" s="19">
        <f t="shared" ref="P56:P58" si="10">O56*J56</f>
        <v>47.98</v>
      </c>
      <c r="Q56" s="19">
        <v>23.99</v>
      </c>
      <c r="R56" s="19">
        <f>Q56*K56</f>
        <v>239.89999999999998</v>
      </c>
      <c r="S56" s="19">
        <v>23.99</v>
      </c>
      <c r="T56" s="19">
        <f t="shared" si="6"/>
        <v>47980</v>
      </c>
      <c r="U56" s="19">
        <v>23.99</v>
      </c>
      <c r="V56" s="19">
        <f t="shared" si="8"/>
        <v>239899.99999999997</v>
      </c>
      <c r="W56" s="7"/>
      <c r="X56" s="3"/>
      <c r="Y56" s="3"/>
    </row>
    <row r="57" spans="1:25" ht="15.75" customHeight="1" thickBot="1" x14ac:dyDescent="0.3">
      <c r="A57" s="70"/>
      <c r="B57" s="124"/>
      <c r="C57" s="97" t="s">
        <v>293</v>
      </c>
      <c r="D57" s="98" t="s">
        <v>295</v>
      </c>
      <c r="E57" s="1" t="s">
        <v>102</v>
      </c>
      <c r="F57" s="99" t="s">
        <v>296</v>
      </c>
      <c r="G57" s="1" t="s">
        <v>268</v>
      </c>
      <c r="H57" s="98" t="s">
        <v>266</v>
      </c>
      <c r="I57" s="99"/>
      <c r="J57" s="5">
        <v>2</v>
      </c>
      <c r="K57" s="4">
        <f t="shared" si="9"/>
        <v>10</v>
      </c>
      <c r="L57" s="4">
        <f t="shared" si="3"/>
        <v>2000</v>
      </c>
      <c r="M57" s="4">
        <f t="shared" si="4"/>
        <v>10000</v>
      </c>
      <c r="N57" s="102" t="s">
        <v>297</v>
      </c>
      <c r="O57" s="100">
        <v>7.99</v>
      </c>
      <c r="P57" s="19">
        <f t="shared" si="10"/>
        <v>15.98</v>
      </c>
      <c r="Q57" s="100">
        <v>7.99</v>
      </c>
      <c r="R57" s="19">
        <f t="shared" ref="R57:R58" si="11">Q57*K57</f>
        <v>79.900000000000006</v>
      </c>
      <c r="S57" s="100">
        <v>7.99</v>
      </c>
      <c r="T57" s="19">
        <f t="shared" si="6"/>
        <v>15980</v>
      </c>
      <c r="U57" s="100">
        <v>7.99</v>
      </c>
      <c r="V57" s="19">
        <f t="shared" ref="V57:V58" si="12">U57*M57</f>
        <v>79900</v>
      </c>
      <c r="W57" s="101"/>
      <c r="X57" s="3"/>
      <c r="Y57" s="3"/>
    </row>
    <row r="58" spans="1:25" ht="15.75" customHeight="1" thickBot="1" x14ac:dyDescent="0.3">
      <c r="A58" s="70"/>
      <c r="B58" s="124"/>
      <c r="C58" s="97" t="s">
        <v>294</v>
      </c>
      <c r="D58" s="98" t="s">
        <v>295</v>
      </c>
      <c r="E58" s="99" t="s">
        <v>102</v>
      </c>
      <c r="F58" s="99"/>
      <c r="G58" s="99"/>
      <c r="H58" s="98"/>
      <c r="I58" s="99"/>
      <c r="J58" s="5">
        <v>3</v>
      </c>
      <c r="K58" s="4">
        <f t="shared" si="9"/>
        <v>15</v>
      </c>
      <c r="L58" s="4">
        <f t="shared" si="3"/>
        <v>3000</v>
      </c>
      <c r="M58" s="4">
        <f t="shared" si="4"/>
        <v>15000</v>
      </c>
      <c r="N58" s="102" t="s">
        <v>297</v>
      </c>
      <c r="O58" s="100">
        <v>3.3</v>
      </c>
      <c r="P58" s="19">
        <f t="shared" si="10"/>
        <v>9.8999999999999986</v>
      </c>
      <c r="Q58" s="100">
        <v>3.3</v>
      </c>
      <c r="R58" s="19">
        <f t="shared" si="11"/>
        <v>49.5</v>
      </c>
      <c r="S58" s="100">
        <v>3.3</v>
      </c>
      <c r="T58" s="19">
        <f t="shared" si="6"/>
        <v>9900</v>
      </c>
      <c r="U58" s="100">
        <v>3.3</v>
      </c>
      <c r="V58" s="19">
        <f t="shared" si="12"/>
        <v>49500</v>
      </c>
      <c r="W58" s="101"/>
      <c r="X58" s="3"/>
      <c r="Y58" s="3"/>
    </row>
    <row r="59" spans="1:25" ht="15.75" thickBot="1" x14ac:dyDescent="0.3">
      <c r="A59" s="70">
        <v>56</v>
      </c>
      <c r="B59" s="125"/>
      <c r="C59" s="94" t="s">
        <v>272</v>
      </c>
      <c r="D59" s="27" t="s">
        <v>266</v>
      </c>
      <c r="E59" s="8" t="s">
        <v>102</v>
      </c>
      <c r="F59" s="8" t="s">
        <v>273</v>
      </c>
      <c r="G59" s="27" t="s">
        <v>266</v>
      </c>
      <c r="H59" s="27" t="s">
        <v>266</v>
      </c>
      <c r="I59" s="8" t="s">
        <v>133</v>
      </c>
      <c r="J59" s="10">
        <v>1</v>
      </c>
      <c r="K59" s="9">
        <f t="shared" ref="K59:K60" si="13">J59*5</f>
        <v>5</v>
      </c>
      <c r="L59" s="9">
        <f t="shared" si="3"/>
        <v>1000</v>
      </c>
      <c r="M59" s="9">
        <f t="shared" si="4"/>
        <v>5000</v>
      </c>
      <c r="N59" s="18"/>
      <c r="O59" s="20">
        <v>14</v>
      </c>
      <c r="P59" s="20">
        <f t="shared" ref="P59:P60" si="14">O59*J59</f>
        <v>14</v>
      </c>
      <c r="Q59" s="20">
        <v>14</v>
      </c>
      <c r="R59" s="20">
        <f>Q59*K59</f>
        <v>70</v>
      </c>
      <c r="S59" s="20">
        <v>10.54</v>
      </c>
      <c r="T59" s="20">
        <f t="shared" si="6"/>
        <v>10540</v>
      </c>
      <c r="U59" s="20">
        <v>8.33</v>
      </c>
      <c r="V59" s="20">
        <f>U59*M59</f>
        <v>41650</v>
      </c>
      <c r="W59" s="108"/>
      <c r="X59" s="3"/>
      <c r="Y59" s="3"/>
    </row>
    <row r="60" spans="1:25" ht="15.75" thickBot="1" x14ac:dyDescent="0.3">
      <c r="A60" s="70">
        <v>57</v>
      </c>
      <c r="B60" s="125"/>
      <c r="C60" s="94" t="s">
        <v>274</v>
      </c>
      <c r="D60" s="27" t="s">
        <v>266</v>
      </c>
      <c r="E60" s="8" t="s">
        <v>102</v>
      </c>
      <c r="F60" s="8" t="s">
        <v>275</v>
      </c>
      <c r="G60" s="27" t="s">
        <v>276</v>
      </c>
      <c r="H60" s="27" t="s">
        <v>266</v>
      </c>
      <c r="I60" s="8" t="s">
        <v>133</v>
      </c>
      <c r="J60" s="10">
        <v>1</v>
      </c>
      <c r="K60" s="9">
        <f t="shared" si="13"/>
        <v>5</v>
      </c>
      <c r="L60" s="9">
        <f t="shared" si="3"/>
        <v>1000</v>
      </c>
      <c r="M60" s="9">
        <f t="shared" si="4"/>
        <v>5000</v>
      </c>
      <c r="N60" s="18" t="s">
        <v>98</v>
      </c>
      <c r="O60" s="20">
        <v>116.38</v>
      </c>
      <c r="P60" s="20">
        <f t="shared" si="14"/>
        <v>116.38</v>
      </c>
      <c r="Q60" s="20">
        <v>116.38</v>
      </c>
      <c r="R60" s="20">
        <f>Q60*K60</f>
        <v>581.9</v>
      </c>
      <c r="S60" s="20">
        <v>116.38</v>
      </c>
      <c r="T60" s="20">
        <f t="shared" si="6"/>
        <v>116380</v>
      </c>
      <c r="U60" s="20">
        <v>116.38</v>
      </c>
      <c r="V60" s="20">
        <f>U60*M60</f>
        <v>581900</v>
      </c>
      <c r="W60" s="12"/>
      <c r="X60" s="3"/>
      <c r="Y60" s="3"/>
    </row>
    <row r="61" spans="1:25" ht="15.75" thickBot="1" x14ac:dyDescent="0.3">
      <c r="A61" s="70">
        <v>58</v>
      </c>
      <c r="B61" s="125"/>
      <c r="C61" s="95" t="s">
        <v>277</v>
      </c>
      <c r="D61" s="27" t="s">
        <v>266</v>
      </c>
      <c r="E61" s="74" t="s">
        <v>102</v>
      </c>
      <c r="F61" s="27" t="s">
        <v>278</v>
      </c>
      <c r="G61" s="27" t="s">
        <v>279</v>
      </c>
      <c r="H61" s="27" t="s">
        <v>266</v>
      </c>
      <c r="I61" s="8" t="s">
        <v>133</v>
      </c>
      <c r="J61" s="10">
        <v>1</v>
      </c>
      <c r="K61" s="9">
        <f t="shared" ref="K61" si="15">J61*5</f>
        <v>5</v>
      </c>
      <c r="L61" s="9">
        <f t="shared" si="3"/>
        <v>1000</v>
      </c>
      <c r="M61" s="9">
        <f t="shared" si="4"/>
        <v>5000</v>
      </c>
      <c r="N61" s="18" t="s">
        <v>98</v>
      </c>
      <c r="O61" s="20">
        <v>75</v>
      </c>
      <c r="P61" s="20">
        <f t="shared" ref="P61" si="16">O61*J61</f>
        <v>75</v>
      </c>
      <c r="Q61" s="20">
        <v>75</v>
      </c>
      <c r="R61" s="20">
        <f>Q61*K61</f>
        <v>375</v>
      </c>
      <c r="S61" s="20">
        <v>48.33</v>
      </c>
      <c r="T61" s="20">
        <f t="shared" si="6"/>
        <v>48330</v>
      </c>
      <c r="U61" s="20">
        <v>48.33</v>
      </c>
      <c r="V61" s="20">
        <f>U61*M61</f>
        <v>241650</v>
      </c>
      <c r="W61" s="12"/>
    </row>
    <row r="62" spans="1:25" ht="15.75" thickBot="1" x14ac:dyDescent="0.3">
      <c r="A62" s="70">
        <v>59</v>
      </c>
      <c r="B62" s="125"/>
      <c r="C62" s="95" t="s">
        <v>280</v>
      </c>
      <c r="D62" s="27" t="s">
        <v>309</v>
      </c>
      <c r="E62" s="74" t="s">
        <v>102</v>
      </c>
      <c r="F62" s="27" t="s">
        <v>281</v>
      </c>
      <c r="G62" s="27" t="s">
        <v>282</v>
      </c>
      <c r="H62" s="27" t="s">
        <v>266</v>
      </c>
      <c r="I62" s="8" t="s">
        <v>133</v>
      </c>
      <c r="J62" s="10">
        <v>1</v>
      </c>
      <c r="K62" s="9">
        <f t="shared" ref="K62" si="17">J62*5</f>
        <v>5</v>
      </c>
      <c r="L62" s="9">
        <f t="shared" si="3"/>
        <v>1000</v>
      </c>
      <c r="M62" s="9">
        <f t="shared" si="4"/>
        <v>5000</v>
      </c>
      <c r="N62" s="18" t="s">
        <v>282</v>
      </c>
      <c r="O62" s="20">
        <v>10</v>
      </c>
      <c r="P62" s="20">
        <f t="shared" ref="P62" si="18">O62*J62</f>
        <v>10</v>
      </c>
      <c r="Q62" s="20">
        <v>10</v>
      </c>
      <c r="R62" s="20">
        <f>Q62*K62</f>
        <v>50</v>
      </c>
      <c r="S62" s="20">
        <v>6</v>
      </c>
      <c r="T62" s="20">
        <f t="shared" si="6"/>
        <v>6000</v>
      </c>
      <c r="U62" s="20">
        <v>6</v>
      </c>
      <c r="V62" s="20">
        <f>U62*M62</f>
        <v>30000</v>
      </c>
      <c r="W62" s="67" t="s">
        <v>283</v>
      </c>
    </row>
    <row r="63" spans="1:25" ht="15.75" thickBot="1" x14ac:dyDescent="0.3">
      <c r="A63" s="71">
        <v>60</v>
      </c>
      <c r="B63" s="126"/>
      <c r="C63" s="96" t="s">
        <v>284</v>
      </c>
      <c r="D63" s="35" t="s">
        <v>266</v>
      </c>
      <c r="E63" s="32" t="s">
        <v>102</v>
      </c>
      <c r="F63" s="35" t="s">
        <v>266</v>
      </c>
      <c r="G63" s="35" t="s">
        <v>266</v>
      </c>
      <c r="H63" s="35" t="s">
        <v>266</v>
      </c>
      <c r="I63" s="13" t="s">
        <v>133</v>
      </c>
      <c r="J63" s="15">
        <v>2</v>
      </c>
      <c r="K63" s="14">
        <f t="shared" ref="K63" si="19">J63*5</f>
        <v>10</v>
      </c>
      <c r="L63" s="14">
        <f t="shared" si="3"/>
        <v>2000</v>
      </c>
      <c r="M63" s="14">
        <f t="shared" si="4"/>
        <v>10000</v>
      </c>
      <c r="N63" s="68"/>
      <c r="O63" s="21"/>
      <c r="P63" s="21">
        <f t="shared" ref="P63" si="20">O63*J63</f>
        <v>0</v>
      </c>
      <c r="Q63" s="21"/>
      <c r="R63" s="21">
        <f>Q63*K63</f>
        <v>0</v>
      </c>
      <c r="S63" s="21"/>
      <c r="T63" s="21">
        <f t="shared" si="6"/>
        <v>0</v>
      </c>
      <c r="U63" s="21"/>
      <c r="V63" s="21">
        <f>U63*M63</f>
        <v>0</v>
      </c>
      <c r="W63" s="69" t="s">
        <v>292</v>
      </c>
    </row>
    <row r="64" spans="1:25" ht="19.5" thickBot="1" x14ac:dyDescent="0.35">
      <c r="K64" s="121" t="s">
        <v>105</v>
      </c>
      <c r="L64" s="121"/>
      <c r="M64" s="121"/>
      <c r="N64" s="121"/>
      <c r="O64" s="121"/>
      <c r="P64" s="121"/>
      <c r="Q64" s="22"/>
      <c r="R64" s="83">
        <f>SUM(R18:R53,R56:R63)</f>
        <v>1680.4989999999998</v>
      </c>
      <c r="S64" s="23"/>
      <c r="T64" s="83">
        <f>SUM(T3:T63)</f>
        <v>291355.45999999996</v>
      </c>
      <c r="U64" s="23"/>
      <c r="V64" s="83">
        <f>SUM(V3:V63)</f>
        <v>1441922.4</v>
      </c>
    </row>
    <row r="65" spans="11:22" ht="18.75" x14ac:dyDescent="0.3">
      <c r="K65" s="122" t="s">
        <v>106</v>
      </c>
      <c r="L65" s="122"/>
      <c r="M65" s="122"/>
      <c r="N65" s="122"/>
      <c r="O65" s="122"/>
      <c r="P65" s="122"/>
      <c r="Q65" s="23">
        <f ca="1">SUM(Q18:Q68)</f>
        <v>198.42500000000001</v>
      </c>
      <c r="R65" s="24">
        <f>R64/5</f>
        <v>336.09979999999996</v>
      </c>
      <c r="S65" s="24"/>
      <c r="T65" s="24"/>
      <c r="U65" s="24"/>
      <c r="V65" s="24"/>
    </row>
  </sheetData>
  <mergeCells count="11">
    <mergeCell ref="K64:P64"/>
    <mergeCell ref="K65:P65"/>
    <mergeCell ref="B56:B63"/>
    <mergeCell ref="A1:W1"/>
    <mergeCell ref="B3:B12"/>
    <mergeCell ref="B18:B19"/>
    <mergeCell ref="B16:B17"/>
    <mergeCell ref="B36:B42"/>
    <mergeCell ref="B20:B35"/>
    <mergeCell ref="B13:B15"/>
    <mergeCell ref="B43:B55"/>
  </mergeCells>
  <conditionalFormatting sqref="J55:K55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5">
    <cfRule type="dataBar" priority="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{E5D9789D-0668-409F-A9A8-D36B7DB7D0CB}</x14:id>
        </ext>
      </extLst>
    </cfRule>
  </conditionalFormatting>
  <conditionalFormatting sqref="W41">
    <cfRule type="dataBar" priority="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{563AC52D-43C4-451A-AD5B-76615AABC113}</x14:id>
        </ext>
      </extLst>
    </cfRule>
  </conditionalFormatting>
  <conditionalFormatting sqref="W39">
    <cfRule type="dataBar" priority="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{D8672D6E-0B10-42FC-9A68-6BA20FE23C54}</x14:id>
        </ext>
      </extLst>
    </cfRule>
  </conditionalFormatting>
  <conditionalFormatting sqref="W18:W19">
    <cfRule type="dataBar" priority="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{03DC7ABD-1804-44C8-B518-B9C1E3B7B782}</x14:id>
        </ext>
      </extLst>
    </cfRule>
  </conditionalFormatting>
  <conditionalFormatting sqref="W13">
    <cfRule type="dataBar" priority="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{E979418E-1F02-4D53-806F-B483D95944D6}</x14:id>
        </ext>
      </extLst>
    </cfRule>
  </conditionalFormatting>
  <conditionalFormatting sqref="J55:K55 J3:M3 J4:K53 L4:M63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4:K54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:K54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54">
    <cfRule type="dataBar" priority="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{CBBD5200-C513-43B5-9081-DB549A9D856E}</x14:id>
        </ext>
      </extLst>
    </cfRule>
  </conditionalFormatting>
  <conditionalFormatting sqref="W53">
    <cfRule type="dataBar" priority="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{49C3BA22-C7EB-4B6C-92CB-670EFBDFC4F5}</x14:id>
        </ext>
      </extLst>
    </cfRule>
  </conditionalFormatting>
  <conditionalFormatting sqref="J59:K5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59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{41151F0B-C755-4701-82DA-81E011C12010}</x14:id>
        </ext>
      </extLst>
    </cfRule>
  </conditionalFormatting>
  <conditionalFormatting sqref="R59:S59 U59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{FA0CFD88-6267-42A8-A70A-2605BACE176A}</x14:id>
        </ext>
      </extLst>
    </cfRule>
  </conditionalFormatting>
  <conditionalFormatting sqref="J56:K5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56:P58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{2C152EAD-1F00-476B-BE04-E9DE3D3192FD}</x14:id>
        </ext>
      </extLst>
    </cfRule>
  </conditionalFormatting>
  <conditionalFormatting sqref="R56:R58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{C7B7DE2D-F7FB-49C4-9988-3FF7D0974BD2}</x14:id>
        </ext>
      </extLst>
    </cfRule>
  </conditionalFormatting>
  <conditionalFormatting sqref="J60:K6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60:P6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{BAA74AAB-3EF7-4CC1-B1E2-9897C2B1A614}</x14:id>
        </ext>
      </extLst>
    </cfRule>
  </conditionalFormatting>
  <conditionalFormatting sqref="R60:S61 U60:U6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{0E2B10F6-33E5-4DD1-8BDC-72EC950ADF15}</x14:id>
        </ext>
      </extLst>
    </cfRule>
  </conditionalFormatting>
  <conditionalFormatting sqref="J62:K6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62:P6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{D274F44B-FAC6-40B8-B33A-8F5096695744}</x14:id>
        </ext>
      </extLst>
    </cfRule>
  </conditionalFormatting>
  <conditionalFormatting sqref="R62:S63 U62:U6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{C8523011-C1DC-4872-AA93-1CB96C17D69E}</x14:id>
        </ext>
      </extLst>
    </cfRule>
  </conditionalFormatting>
  <conditionalFormatting sqref="Q18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{8BED16CA-F455-45C6-B85E-466776D1B4F7}</x14:id>
        </ext>
      </extLst>
    </cfRule>
  </conditionalFormatting>
  <conditionalFormatting sqref="Q65:V65">
    <cfRule type="dataBar" priority="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{00F4DBD2-6698-4ADA-B9BF-608AE474FCE0}</x14:id>
        </ext>
      </extLst>
    </cfRule>
  </conditionalFormatting>
  <conditionalFormatting sqref="P3:P53">
    <cfRule type="dataBar" priority="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{9C11EB30-88AE-4AD0-B2DA-E34DBD9D8773}</x14:id>
        </ext>
      </extLst>
    </cfRule>
  </conditionalFormatting>
  <conditionalFormatting sqref="R3:V3 R4:S4 U4:U53 T4:T63 V4:V63 R6:S53 R5"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{2F6B6F4F-BC31-4B63-B3A8-F7820745DC3B}</x14:id>
        </ext>
      </extLst>
    </cfRule>
  </conditionalFormatting>
  <conditionalFormatting sqref="J3:M6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N41" r:id="rId1"/>
    <hyperlink ref="N4" r:id="rId2"/>
    <hyperlink ref="N13" r:id="rId3"/>
    <hyperlink ref="N20" r:id="rId4"/>
    <hyperlink ref="N21" r:id="rId5"/>
    <hyperlink ref="N31" r:id="rId6"/>
    <hyperlink ref="N32" r:id="rId7"/>
    <hyperlink ref="N33" r:id="rId8"/>
    <hyperlink ref="N45" r:id="rId9"/>
    <hyperlink ref="N46" r:id="rId10"/>
    <hyperlink ref="N48" r:id="rId11"/>
    <hyperlink ref="N49" r:id="rId12"/>
    <hyperlink ref="N50" r:id="rId13"/>
    <hyperlink ref="N18" r:id="rId14"/>
    <hyperlink ref="N47" r:id="rId15"/>
    <hyperlink ref="N3" r:id="rId16"/>
    <hyperlink ref="N5" r:id="rId17"/>
    <hyperlink ref="N6" r:id="rId18"/>
    <hyperlink ref="N7" r:id="rId19"/>
    <hyperlink ref="N10" r:id="rId20"/>
    <hyperlink ref="N11" r:id="rId21"/>
    <hyperlink ref="N14" r:id="rId22"/>
    <hyperlink ref="N15" r:id="rId23"/>
    <hyperlink ref="N23" r:id="rId24"/>
    <hyperlink ref="N24" r:id="rId25"/>
    <hyperlink ref="N25" r:id="rId26"/>
    <hyperlink ref="N26" r:id="rId27"/>
    <hyperlink ref="N27" r:id="rId28"/>
    <hyperlink ref="N28" r:id="rId29"/>
    <hyperlink ref="N30" r:id="rId30"/>
    <hyperlink ref="N16" r:id="rId31"/>
    <hyperlink ref="N17" r:id="rId32"/>
    <hyperlink ref="N36" r:id="rId33"/>
    <hyperlink ref="N38" r:id="rId34"/>
    <hyperlink ref="N39" r:id="rId35"/>
    <hyperlink ref="N35" r:id="rId36"/>
    <hyperlink ref="N34" r:id="rId37"/>
    <hyperlink ref="N43" r:id="rId38"/>
    <hyperlink ref="N44" r:id="rId39"/>
    <hyperlink ref="N9" r:id="rId40"/>
    <hyperlink ref="N12" r:id="rId41"/>
    <hyperlink ref="N22" r:id="rId42"/>
    <hyperlink ref="N29" r:id="rId43"/>
    <hyperlink ref="N40" r:id="rId44" display="Mouser"/>
    <hyperlink ref="N19" r:id="rId45"/>
    <hyperlink ref="N53" r:id="rId46"/>
    <hyperlink ref="N56" r:id="rId47"/>
    <hyperlink ref="N60" r:id="rId48"/>
    <hyperlink ref="N61" r:id="rId49"/>
    <hyperlink ref="N62" r:id="rId50"/>
    <hyperlink ref="N8" r:id="rId51"/>
    <hyperlink ref="N37" r:id="rId52"/>
    <hyperlink ref="N42" r:id="rId53"/>
    <hyperlink ref="N57" r:id="rId54"/>
    <hyperlink ref="N58" r:id="rId55"/>
  </hyperlinks>
  <pageMargins left="0.7" right="0.7" top="0.75" bottom="0.75" header="0.3" footer="0.3"/>
  <pageSetup orientation="portrait" r:id="rId5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9789D-0668-409F-A9A8-D36B7DB7D0C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W55</xm:sqref>
        </x14:conditionalFormatting>
        <x14:conditionalFormatting xmlns:xm="http://schemas.microsoft.com/office/excel/2006/main">
          <x14:cfRule type="dataBar" id="{563AC52D-43C4-451A-AD5B-76615AABC11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W41</xm:sqref>
        </x14:conditionalFormatting>
        <x14:conditionalFormatting xmlns:xm="http://schemas.microsoft.com/office/excel/2006/main">
          <x14:cfRule type="dataBar" id="{D8672D6E-0B10-42FC-9A68-6BA20FE23C5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W39</xm:sqref>
        </x14:conditionalFormatting>
        <x14:conditionalFormatting xmlns:xm="http://schemas.microsoft.com/office/excel/2006/main">
          <x14:cfRule type="dataBar" id="{03DC7ABD-1804-44C8-B518-B9C1E3B7B78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W18:W19</xm:sqref>
        </x14:conditionalFormatting>
        <x14:conditionalFormatting xmlns:xm="http://schemas.microsoft.com/office/excel/2006/main">
          <x14:cfRule type="dataBar" id="{E979418E-1F02-4D53-806F-B483D95944D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W13</xm:sqref>
        </x14:conditionalFormatting>
        <x14:conditionalFormatting xmlns:xm="http://schemas.microsoft.com/office/excel/2006/main">
          <x14:cfRule type="dataBar" id="{CBBD5200-C513-43B5-9081-DB549A9D856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W54</xm:sqref>
        </x14:conditionalFormatting>
        <x14:conditionalFormatting xmlns:xm="http://schemas.microsoft.com/office/excel/2006/main">
          <x14:cfRule type="dataBar" id="{49C3BA22-C7EB-4B6C-92CB-670EFBDFC4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W53</xm:sqref>
        </x14:conditionalFormatting>
        <x14:conditionalFormatting xmlns:xm="http://schemas.microsoft.com/office/excel/2006/main">
          <x14:cfRule type="dataBar" id="{41151F0B-C755-4701-82DA-81E011C120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P59</xm:sqref>
        </x14:conditionalFormatting>
        <x14:conditionalFormatting xmlns:xm="http://schemas.microsoft.com/office/excel/2006/main">
          <x14:cfRule type="dataBar" id="{FA0CFD88-6267-42A8-A70A-2605BACE17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R59:S59 U59</xm:sqref>
        </x14:conditionalFormatting>
        <x14:conditionalFormatting xmlns:xm="http://schemas.microsoft.com/office/excel/2006/main">
          <x14:cfRule type="dataBar" id="{2C152EAD-1F00-476B-BE04-E9DE3D3192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P56:P58</xm:sqref>
        </x14:conditionalFormatting>
        <x14:conditionalFormatting xmlns:xm="http://schemas.microsoft.com/office/excel/2006/main">
          <x14:cfRule type="dataBar" id="{C7B7DE2D-F7FB-49C4-9988-3FF7D0974B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R56:R58</xm:sqref>
        </x14:conditionalFormatting>
        <x14:conditionalFormatting xmlns:xm="http://schemas.microsoft.com/office/excel/2006/main">
          <x14:cfRule type="dataBar" id="{BAA74AAB-3EF7-4CC1-B1E2-9897C2B1A6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P60:P61</xm:sqref>
        </x14:conditionalFormatting>
        <x14:conditionalFormatting xmlns:xm="http://schemas.microsoft.com/office/excel/2006/main">
          <x14:cfRule type="dataBar" id="{0E2B10F6-33E5-4DD1-8BDC-72EC950ADF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R60:S61 U60:U61</xm:sqref>
        </x14:conditionalFormatting>
        <x14:conditionalFormatting xmlns:xm="http://schemas.microsoft.com/office/excel/2006/main">
          <x14:cfRule type="dataBar" id="{D274F44B-FAC6-40B8-B33A-8F50966957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P62:P63</xm:sqref>
        </x14:conditionalFormatting>
        <x14:conditionalFormatting xmlns:xm="http://schemas.microsoft.com/office/excel/2006/main">
          <x14:cfRule type="dataBar" id="{C8523011-C1DC-4872-AA93-1CB96C17D6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R62:S63 U62:U63</xm:sqref>
        </x14:conditionalFormatting>
        <x14:conditionalFormatting xmlns:xm="http://schemas.microsoft.com/office/excel/2006/main">
          <x14:cfRule type="dataBar" id="{8BED16CA-F455-45C6-B85E-466776D1B4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0F4DBD2-6698-4ADA-B9BF-608AE474FC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Q65:V65</xm:sqref>
        </x14:conditionalFormatting>
        <x14:conditionalFormatting xmlns:xm="http://schemas.microsoft.com/office/excel/2006/main">
          <x14:cfRule type="dataBar" id="{9C11EB30-88AE-4AD0-B2DA-E34DBD9D87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P3:P53</xm:sqref>
        </x14:conditionalFormatting>
        <x14:conditionalFormatting xmlns:xm="http://schemas.microsoft.com/office/excel/2006/main">
          <x14:cfRule type="dataBar" id="{2F6B6F4F-BC31-4B63-B3A8-F7820745DC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R3:V3 R4:S4 U4:U53 T4:T63 V4:V63 R6:S53 R5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Refrence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Windows User</cp:lastModifiedBy>
  <dcterms:created xsi:type="dcterms:W3CDTF">2021-05-17T11:34:06Z</dcterms:created>
  <dcterms:modified xsi:type="dcterms:W3CDTF">2021-10-05T09:48:48Z</dcterms:modified>
</cp:coreProperties>
</file>