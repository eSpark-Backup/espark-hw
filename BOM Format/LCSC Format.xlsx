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2"/>
  <workbookPr/>
  <mc:AlternateContent xmlns:mc="http://schemas.openxmlformats.org/markup-compatibility/2006">
    <mc:Choice Requires="x15">
      <x15ac:absPath xmlns:x15ac="http://schemas.microsoft.com/office/spreadsheetml/2010/11/ac" url="D:\Github\eSpark-Hardware\BOM Format\"/>
    </mc:Choice>
  </mc:AlternateContent>
  <xr:revisionPtr revIDLastSave="0" documentId="13_ncr:1_{00B3011B-A888-470E-B342-02B48242C210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ingle Board" sheetId="1" r:id="rId1"/>
    <sheet name="Five Board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3" i="4" l="1"/>
  <c r="P3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4" i="4"/>
  <c r="P61" i="4"/>
  <c r="P60" i="4"/>
  <c r="P59" i="4"/>
  <c r="P58" i="4"/>
  <c r="P57" i="4"/>
  <c r="P56" i="4"/>
  <c r="P55" i="4"/>
  <c r="P54" i="4"/>
  <c r="P53" i="4"/>
  <c r="P52" i="4"/>
  <c r="P51" i="4"/>
  <c r="P50" i="4"/>
  <c r="P49" i="4"/>
  <c r="P48" i="4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P4" i="1"/>
  <c r="M3" i="1"/>
  <c r="L66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3" i="1"/>
  <c r="P63" i="1" l="1"/>
</calcChain>
</file>

<file path=xl/sharedStrings.xml><?xml version="1.0" encoding="utf-8"?>
<sst xmlns="http://schemas.openxmlformats.org/spreadsheetml/2006/main" count="1172" uniqueCount="375">
  <si>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</si>
  <si>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</si>
  <si>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</si>
  <si>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</si>
  <si>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</si>
  <si>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</si>
  <si>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</si>
  <si>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 xml:space="preserve">LCSC Part No </t>
  </si>
  <si>
    <t>Alternate</t>
  </si>
  <si>
    <t>Value</t>
  </si>
  <si>
    <t>LCSC/MOQ</t>
  </si>
  <si>
    <t>Quantity (Per Board)</t>
  </si>
  <si>
    <t>Unit Cost(1)</t>
  </si>
  <si>
    <t>Total Cost(1)</t>
  </si>
  <si>
    <t>Remarks</t>
  </si>
  <si>
    <t>Capacitor</t>
  </si>
  <si>
    <t>CAP CER 0.1UF 50V X5R 0402</t>
  </si>
  <si>
    <t>C5, C9, C13, C17, C23, C32</t>
  </si>
  <si>
    <t>Cap0402</t>
  </si>
  <si>
    <t>C1005X5R1H104K050BB</t>
  </si>
  <si>
    <t>TDK</t>
  </si>
  <si>
    <t>C1581</t>
  </si>
  <si>
    <t>0.1uF</t>
  </si>
  <si>
    <t>LCSC</t>
  </si>
  <si>
    <t>CAP CER 47UF 25V X5R 1206</t>
  </si>
  <si>
    <t>C6, C7, C24, C29, C30, C31</t>
  </si>
  <si>
    <t>Cap1206</t>
  </si>
  <si>
    <t>C3216X5R1E476M160AC</t>
  </si>
  <si>
    <t>C403725</t>
  </si>
  <si>
    <t>GRM31CR61E476ME44L</t>
  </si>
  <si>
    <t>47uF</t>
  </si>
  <si>
    <t>CAP CER 4.7UF 50V X7R 1206</t>
  </si>
  <si>
    <t>C1, C14, C15, C28, CF5</t>
  </si>
  <si>
    <t>C3216X7R1H475K160AC</t>
  </si>
  <si>
    <t>C77096</t>
  </si>
  <si>
    <t xml:space="preserve">GRM31CR71H475KA12L
</t>
  </si>
  <si>
    <t>4.7uF</t>
  </si>
  <si>
    <t>CAP CER 0.22UF 50V X7R 1206</t>
  </si>
  <si>
    <t>C2, C3</t>
  </si>
  <si>
    <t>VJ1206Y224KXAMT</t>
  </si>
  <si>
    <t>Vishay Vitramon</t>
  </si>
  <si>
    <t>C107186</t>
  </si>
  <si>
    <t>CC1206KKX7R9BB224</t>
  </si>
  <si>
    <t>220nF</t>
  </si>
  <si>
    <t>C4, C10, C11, C21, C36, CF3, CF4</t>
  </si>
  <si>
    <t>UMK105CBJ105MV-F</t>
  </si>
  <si>
    <t>Taiyo Yuden</t>
  </si>
  <si>
    <t>1uF</t>
  </si>
  <si>
    <t>CAP CER 22UF 25V X5R 1206</t>
  </si>
  <si>
    <t>C8</t>
  </si>
  <si>
    <t>C3216X5R1E226M160AB</t>
  </si>
  <si>
    <t>C338055</t>
  </si>
  <si>
    <t xml:space="preserve">C3216X5R1E226KTJ00N
</t>
  </si>
  <si>
    <t>22uF</t>
  </si>
  <si>
    <t>CAP CER 10UF 35V X5R 0805</t>
  </si>
  <si>
    <t>C16, C20</t>
  </si>
  <si>
    <t>Cap0805</t>
  </si>
  <si>
    <t>GRM21BR6YA106ME43L</t>
  </si>
  <si>
    <t>Murata</t>
  </si>
  <si>
    <t>10uF</t>
  </si>
  <si>
    <t>CAP ALUM 470UF 20% 25V SMD</t>
  </si>
  <si>
    <t>C18, C19, CF6</t>
  </si>
  <si>
    <t>Custom</t>
  </si>
  <si>
    <t>KEMET</t>
  </si>
  <si>
    <t>C193277</t>
  </si>
  <si>
    <t>EEEFT1E471GP</t>
  </si>
  <si>
    <t>470uF</t>
  </si>
  <si>
    <t>CAP ALUM 10UF 20% 25V SMD</t>
  </si>
  <si>
    <t>C12</t>
  </si>
  <si>
    <t>C178538</t>
  </si>
  <si>
    <t>EEEFK1E100R</t>
  </si>
  <si>
    <t>CAP CER 33PF 25V C0G/NP0 0402</t>
  </si>
  <si>
    <t>C33, C34, C35</t>
  </si>
  <si>
    <t>GRM1555C1E330JA01D</t>
  </si>
  <si>
    <t>C441758</t>
  </si>
  <si>
    <t xml:space="preserve">GRM1555C1E330JA01D
</t>
  </si>
  <si>
    <t>33pF</t>
  </si>
  <si>
    <t>Diode</t>
  </si>
  <si>
    <t>LED GREEN CLEAR CHIP SMD</t>
  </si>
  <si>
    <t>LED2, LED3, LED4, LEDx1</t>
  </si>
  <si>
    <t>LED 0402</t>
  </si>
  <si>
    <t>XZVG68W-2</t>
  </si>
  <si>
    <t>SunLED</t>
  </si>
  <si>
    <t>C917188</t>
  </si>
  <si>
    <t xml:space="preserve">TJ-S1005CL4T5ALC2G-A5
</t>
  </si>
  <si>
    <t>---------</t>
  </si>
  <si>
    <t>DIODE SCHOTTKY 40V 3A SMA</t>
  </si>
  <si>
    <t>D5, D6</t>
  </si>
  <si>
    <t>DO-214AC</t>
  </si>
  <si>
    <t>CMSH3-40MA TR13 PBFREE</t>
  </si>
  <si>
    <t>Central Semiconductor</t>
  </si>
  <si>
    <t>C408258</t>
  </si>
  <si>
    <t>SS34</t>
  </si>
  <si>
    <t>Diode Switching 50V 1A 2-Pin SMA T/R</t>
  </si>
  <si>
    <t>D7</t>
  </si>
  <si>
    <t>SMA</t>
  </si>
  <si>
    <t>S1A-13-F</t>
  </si>
  <si>
    <t>Diodes</t>
  </si>
  <si>
    <t>C150735</t>
  </si>
  <si>
    <t>Inductor</t>
  </si>
  <si>
    <t>FIXED IND 6.8UH 5A 48 MOHM SMD</t>
  </si>
  <si>
    <t>L1</t>
  </si>
  <si>
    <t>0630CDMCCDS-6R8MC</t>
  </si>
  <si>
    <t>Sumida</t>
  </si>
  <si>
    <t>C167295</t>
  </si>
  <si>
    <t>-------</t>
  </si>
  <si>
    <t>6.8uH</t>
  </si>
  <si>
    <t>FIXED IND 10UH 2.5A 43.7 MOHM</t>
  </si>
  <si>
    <t>L2</t>
  </si>
  <si>
    <t>SLF10145T-100M2R5-PF</t>
  </si>
  <si>
    <t>10uH</t>
  </si>
  <si>
    <t>NON Stock in LCSC</t>
  </si>
  <si>
    <t>Mosfet</t>
  </si>
  <si>
    <t>MOSFET N-CH 20V 630MA SOT523</t>
  </si>
  <si>
    <t>Q1, Q2, Q3</t>
  </si>
  <si>
    <t>SOT-523</t>
  </si>
  <si>
    <t>DMG1012T-7</t>
  </si>
  <si>
    <t>C20512</t>
  </si>
  <si>
    <t>MOSFET N-CH 50V 200MA SOT-23</t>
  </si>
  <si>
    <t>Q4, Q5</t>
  </si>
  <si>
    <t>sot-23</t>
  </si>
  <si>
    <t>BSS138LT1G</t>
  </si>
  <si>
    <t>ON Semiconductor</t>
  </si>
  <si>
    <t>------</t>
  </si>
  <si>
    <t>Resistor</t>
  </si>
  <si>
    <t>RES SMD 47K OHM 1% 1/5W 0402</t>
  </si>
  <si>
    <t>R20, R21, R31</t>
  </si>
  <si>
    <t>Res0402</t>
  </si>
  <si>
    <t>RCS040247K0FKED</t>
  </si>
  <si>
    <t>Vishay Dale</t>
  </si>
  <si>
    <t>C427250</t>
  </si>
  <si>
    <t>ERJPA2F4702X</t>
  </si>
  <si>
    <t>47K</t>
  </si>
  <si>
    <t>RES SMD 1.8K OHM 1% 1/5W 0402</t>
  </si>
  <si>
    <t>R23, R24, R25, R26</t>
  </si>
  <si>
    <t>RCS04021K80FKED</t>
  </si>
  <si>
    <t>C159960</t>
  </si>
  <si>
    <t>RK73H1ETTP1801F</t>
  </si>
  <si>
    <t>1.8K</t>
  </si>
  <si>
    <t>RES SMD 0 OHM JUMPER 1/5W 0402</t>
  </si>
  <si>
    <t>R27, R28, R29</t>
  </si>
  <si>
    <t>RCS04020000Z0ED</t>
  </si>
  <si>
    <t>C106231</t>
  </si>
  <si>
    <t>RC0402FR-070RL</t>
  </si>
  <si>
    <t>0R</t>
  </si>
  <si>
    <t>RES SMD 24.9K OHM 1% 1/5W 0402</t>
  </si>
  <si>
    <t>R3</t>
  </si>
  <si>
    <t>RCS040224K9FKED</t>
  </si>
  <si>
    <t>C102925</t>
  </si>
  <si>
    <t>RTT022492FTH</t>
  </si>
  <si>
    <t>24.9K</t>
  </si>
  <si>
    <t>RES SMD 301K OHM 1% 1/5W 0402</t>
  </si>
  <si>
    <t>R4</t>
  </si>
  <si>
    <t>RCS0402301KFKED</t>
  </si>
  <si>
    <t xml:space="preserve">C25775
</t>
  </si>
  <si>
    <t>0402WGF3013TCE</t>
  </si>
  <si>
    <t>301K</t>
  </si>
  <si>
    <t>RES 0.05 OHM 1% 1/2W 1206</t>
  </si>
  <si>
    <t>R6</t>
  </si>
  <si>
    <t>Res1206</t>
  </si>
  <si>
    <t>CSR1206FK50L0</t>
  </si>
  <si>
    <t>Stackpole Electronics</t>
  </si>
  <si>
    <t>C149662</t>
  </si>
  <si>
    <t>CR1206FR050P05R</t>
  </si>
  <si>
    <t>0.05R</t>
  </si>
  <si>
    <t>RES SMD 536K OHM 1% 1/10W 0402</t>
  </si>
  <si>
    <t>R7</t>
  </si>
  <si>
    <t>ERJ-2RKF5363X</t>
  </si>
  <si>
    <t>Panasonic</t>
  </si>
  <si>
    <t>C68457</t>
  </si>
  <si>
    <t>0402WGF5363TCE</t>
  </si>
  <si>
    <t>536K</t>
  </si>
  <si>
    <t>RES SMD 453K OHM 1% 1/10W 0402</t>
  </si>
  <si>
    <t>R8</t>
  </si>
  <si>
    <t>ERJ-2RKF4533X</t>
  </si>
  <si>
    <t>C27009</t>
  </si>
  <si>
    <t>0402WGF4533TCE</t>
  </si>
  <si>
    <t>453K</t>
  </si>
  <si>
    <t>RES SMD 5.1 KOHM 1% 1/5W 0402</t>
  </si>
  <si>
    <t>R9, R10, R11, R12</t>
  </si>
  <si>
    <t>ERJ-PA2F5101X</t>
  </si>
  <si>
    <t>C25941</t>
  </si>
  <si>
    <t>0402WGJ0512TCE</t>
  </si>
  <si>
    <t>5.1K</t>
  </si>
  <si>
    <t>RES 10K OHM 1% 1/5W 0402</t>
  </si>
  <si>
    <t>R18, R39, R40, R41, R42, RF3, RF7, RF10, RF11</t>
  </si>
  <si>
    <t>SR0402FR-7T10KL</t>
  </si>
  <si>
    <t>Yageo</t>
  </si>
  <si>
    <t>C60489</t>
  </si>
  <si>
    <t xml:space="preserve">RC0402JR-0710KL
</t>
  </si>
  <si>
    <t>10K</t>
  </si>
  <si>
    <t>RES SMD 300K OHM 1% 1/5W 0402</t>
  </si>
  <si>
    <t>R16, R17</t>
  </si>
  <si>
    <t>RCS0402300KFKED</t>
  </si>
  <si>
    <t>300K</t>
  </si>
  <si>
    <t>RES 100K OHM 1% 1/5W 0402</t>
  </si>
  <si>
    <t>R1, R2, R5, R32, R35, R36, R37, R38</t>
  </si>
  <si>
    <t>SR0402FR-7T100KL</t>
  </si>
  <si>
    <t>C427253</t>
  </si>
  <si>
    <t>ERJPA2F1003X</t>
  </si>
  <si>
    <t>100K</t>
  </si>
  <si>
    <t>RES SMD 470 OHM 1% 1/5W 0402</t>
  </si>
  <si>
    <t>R33, RF1</t>
  </si>
  <si>
    <t>ERJ-PA2F4700X</t>
  </si>
  <si>
    <t>C427238</t>
  </si>
  <si>
    <t>-----------</t>
  </si>
  <si>
    <t>470R</t>
  </si>
  <si>
    <t>RES SMD 15K OHM 1% 1/5W 0402</t>
  </si>
  <si>
    <t>R34</t>
  </si>
  <si>
    <t>ERJ-PA2F1502X</t>
  </si>
  <si>
    <t>C413097</t>
  </si>
  <si>
    <t>ERJ2RKF1502X</t>
  </si>
  <si>
    <t>15K</t>
  </si>
  <si>
    <t xml:space="preserve">RES SMD 2.21M OHM 1% 1/10W 0603
</t>
  </si>
  <si>
    <t>RC1</t>
  </si>
  <si>
    <t>Res0603</t>
  </si>
  <si>
    <t>RTT032214FTP</t>
  </si>
  <si>
    <t>C166858</t>
  </si>
  <si>
    <t>2.21M</t>
  </si>
  <si>
    <t>RES SMD 1M OHM 5% 1/16W 0402</t>
  </si>
  <si>
    <t>RC2</t>
  </si>
  <si>
    <t>AF0402JR-071ML</t>
  </si>
  <si>
    <t>C144054</t>
  </si>
  <si>
    <t>1M</t>
  </si>
  <si>
    <t>Ics</t>
  </si>
  <si>
    <t>AUTOMOTIVE 36-V, 4-A SYNCHRONOUS</t>
  </si>
  <si>
    <t>U1</t>
  </si>
  <si>
    <t xml:space="preserve">13-WQFN-HR (3x2)
</t>
  </si>
  <si>
    <t>LM60440AQRPKRQ1</t>
  </si>
  <si>
    <t>Texas Instruments</t>
  </si>
  <si>
    <t>IC REG LINEAR 3.3V 3A TO263-3</t>
  </si>
  <si>
    <t>U2</t>
  </si>
  <si>
    <t xml:space="preserve">TO-263-3 </t>
  </si>
  <si>
    <t>MIC29300-3.3WU-TR</t>
  </si>
  <si>
    <t>Microchip</t>
  </si>
  <si>
    <t>C481370</t>
  </si>
  <si>
    <t>IC REG LINEAR 1.8V 300MA 4UDFN</t>
  </si>
  <si>
    <t>U3</t>
  </si>
  <si>
    <t>4UDFN</t>
  </si>
  <si>
    <t>NCP114BMX180TCG</t>
  </si>
  <si>
    <t>C457759</t>
  </si>
  <si>
    <t xml:space="preserve">IC BATT CHG MULTI-CHEM 12DFN
</t>
  </si>
  <si>
    <t>U4</t>
  </si>
  <si>
    <t xml:space="preserve">12-DFN (3x3)
</t>
  </si>
  <si>
    <t>LT3652EDD#PBF</t>
  </si>
  <si>
    <t>Analog Devices</t>
  </si>
  <si>
    <t>C96510</t>
  </si>
  <si>
    <t>IC ADC 16BIT SIGMA-DELTA 10VSSOP</t>
  </si>
  <si>
    <t>U8</t>
  </si>
  <si>
    <t>10VSSOP</t>
  </si>
  <si>
    <t>ADS1115IDGSR</t>
  </si>
  <si>
    <t>Aliexpress</t>
  </si>
  <si>
    <t>IC USB SWITCH DPDT 10UMLP</t>
  </si>
  <si>
    <t>U6</t>
  </si>
  <si>
    <t>10UMLP</t>
  </si>
  <si>
    <t>FSUSB42UMX</t>
  </si>
  <si>
    <t>C11145</t>
  </si>
  <si>
    <t>MOSFET N/P-CH 30V 8SOIC</t>
  </si>
  <si>
    <t>U7</t>
  </si>
  <si>
    <t xml:space="preserve">8-SO
</t>
  </si>
  <si>
    <t>IRF7319TRPBF</t>
  </si>
  <si>
    <t>International Rectifier</t>
  </si>
  <si>
    <t>C2760082</t>
  </si>
  <si>
    <t>Connector</t>
  </si>
  <si>
    <t>CONN HEADER VERT 3POS 2.54MM</t>
  </si>
  <si>
    <t>PF1, PF2</t>
  </si>
  <si>
    <t>61300311121</t>
  </si>
  <si>
    <t>Wurth Electronics</t>
  </si>
  <si>
    <t>C390679</t>
  </si>
  <si>
    <t xml:space="preserve">210-91-03GB01
</t>
  </si>
  <si>
    <t>CONN HEADER VERT 2POS 2.54MM</t>
  </si>
  <si>
    <t>PF3</t>
  </si>
  <si>
    <t>61300211121</t>
  </si>
  <si>
    <t>C390678</t>
  </si>
  <si>
    <t xml:space="preserve">210-91-02GB01
</t>
  </si>
  <si>
    <t>CONN PCI EXP MINI FEMALE 52POS</t>
  </si>
  <si>
    <t>J1</t>
  </si>
  <si>
    <t>0679100002</t>
  </si>
  <si>
    <t>Molex</t>
  </si>
  <si>
    <t>C192736</t>
  </si>
  <si>
    <t>CONN FFC 22POS 0.50MM SMD</t>
  </si>
  <si>
    <t>J3, J5</t>
  </si>
  <si>
    <t>TF31-22S-0.5SH(800)</t>
  </si>
  <si>
    <t>Hirose</t>
  </si>
  <si>
    <t>C596725</t>
  </si>
  <si>
    <t>CONN SKT SODIMM 200POS R/A SMD</t>
  </si>
  <si>
    <t>J4</t>
  </si>
  <si>
    <t>1565917-4</t>
  </si>
  <si>
    <t>TE Connectivity</t>
  </si>
  <si>
    <t>C279171</t>
  </si>
  <si>
    <t>--------</t>
  </si>
  <si>
    <t>CONN MICRO SD CARD PUSH-PULL R/A</t>
  </si>
  <si>
    <t>J6</t>
  </si>
  <si>
    <t>114-00841-68</t>
  </si>
  <si>
    <t>AMPHENOL ICC</t>
  </si>
  <si>
    <t>CONN RCPT USB2.0 MICRO B SMD R/A</t>
  </si>
  <si>
    <t>J10</t>
  </si>
  <si>
    <t>10118192-0001LF</t>
  </si>
  <si>
    <t>Amphenol FCI</t>
  </si>
  <si>
    <t>C132564</t>
  </si>
  <si>
    <t>CONN RCPT USB2.0 TYPEA 4POS R/A</t>
  </si>
  <si>
    <t>J12</t>
  </si>
  <si>
    <t>61400416021</t>
  </si>
  <si>
    <t>C2346</t>
  </si>
  <si>
    <t>901-211A1021D10100</t>
  </si>
  <si>
    <t>CONN FFC FPC TOP 15POS 1MM R/A</t>
  </si>
  <si>
    <t>J13, J14, J17</t>
  </si>
  <si>
    <t>C500193</t>
  </si>
  <si>
    <t>X10B25U15T</t>
  </si>
  <si>
    <t>J15</t>
  </si>
  <si>
    <t>CONN HEADER VERT 3POS 2.5MM</t>
  </si>
  <si>
    <t>J16</t>
  </si>
  <si>
    <t>B3B-XH-A(LF)(SN)</t>
  </si>
  <si>
    <t>JST</t>
  </si>
  <si>
    <t>C144394</t>
  </si>
  <si>
    <t>Test Point ON</t>
  </si>
  <si>
    <t>P1, P2, P3, P4, P5, P6, P7, P8, P9, P10, P11, P12, P13, P14, P15, P16, P17, P18, P19, P20, P21, P22, P23, P24, P25, P26, P27, P28, P29, P30, P31, P32</t>
  </si>
  <si>
    <t>TEST POINT</t>
  </si>
  <si>
    <t>-------------</t>
  </si>
  <si>
    <t>DO NOT Mount</t>
  </si>
  <si>
    <t>Solder Bridge ON</t>
  </si>
  <si>
    <t>SB1, SB2, SB3, SB4</t>
  </si>
  <si>
    <t>Solder Bridge</t>
  </si>
  <si>
    <t>Additional Components</t>
  </si>
  <si>
    <t>Camera Day + Night Vision w/Cables</t>
  </si>
  <si>
    <t>OV5647 Module</t>
  </si>
  <si>
    <t>Arducam</t>
  </si>
  <si>
    <t>Battery LiFePO4</t>
  </si>
  <si>
    <t>2-Cell LiFePO4</t>
  </si>
  <si>
    <t>Link to be pasted by Electron Ali</t>
  </si>
  <si>
    <t>Compute Module CM3+</t>
  </si>
  <si>
    <t>CM3+/32GB</t>
  </si>
  <si>
    <t>Raspberry Pi</t>
  </si>
  <si>
    <t>4G Modem Module</t>
  </si>
  <si>
    <t>EG25GGB-MINIPCIE</t>
  </si>
  <si>
    <t>Quectel</t>
  </si>
  <si>
    <t>Twilio Embedded SIM</t>
  </si>
  <si>
    <t>Embedded (MFF2)</t>
  </si>
  <si>
    <t>Twilio</t>
  </si>
  <si>
    <t>Will be sourced directly from Twilio using Client's Account</t>
  </si>
  <si>
    <t>UFL 4G LTE Antenna</t>
  </si>
  <si>
    <t xml:space="preserve">Total Component Cost </t>
  </si>
  <si>
    <t>Single Board Cost</t>
  </si>
  <si>
    <t>Link</t>
  </si>
  <si>
    <t>BSS138-7-F</t>
  </si>
  <si>
    <t>C40912</t>
  </si>
  <si>
    <t>wattage ratting is 1/16W</t>
  </si>
  <si>
    <t>RK73H1ETTP3003F</t>
  </si>
  <si>
    <t>C316883</t>
  </si>
  <si>
    <t>wattage ratting is 0.1W</t>
  </si>
  <si>
    <t>C37593</t>
  </si>
  <si>
    <t>less stock</t>
  </si>
  <si>
    <t>hole size is different</t>
  </si>
  <si>
    <t>XKB Connectivity</t>
  </si>
  <si>
    <t>not at lcsc</t>
  </si>
  <si>
    <t xml:space="preserve">CAP CER 1UF 50V X5R 0402
</t>
  </si>
  <si>
    <t>Alibaba</t>
  </si>
  <si>
    <t>Back order issue at LCSC</t>
  </si>
  <si>
    <t>C2012X5R1V106MT0J0E</t>
  </si>
  <si>
    <t>C342723</t>
  </si>
  <si>
    <t>15cmFFC+30cmFFC</t>
  </si>
  <si>
    <t>MC-318</t>
  </si>
  <si>
    <t>SOFNG</t>
  </si>
  <si>
    <t>USB - Type C Female 24 SMD USB Connectors RoHS</t>
  </si>
  <si>
    <t>C183608</t>
  </si>
  <si>
    <t xml:space="preserve">C1005X5R1E105KT000E
</t>
  </si>
  <si>
    <t xml:space="preserve">Different Voltage Rating </t>
  </si>
  <si>
    <t>C191909</t>
  </si>
  <si>
    <t>Chipmall</t>
  </si>
  <si>
    <t>Wattage Rating issue</t>
  </si>
  <si>
    <t xml:space="preserve">Bill of Material (BOM) for Refrence Formate </t>
  </si>
  <si>
    <t>-</t>
  </si>
  <si>
    <t>Desired Quantity Single Boad</t>
  </si>
  <si>
    <t>Desired Quantity Five Boad</t>
  </si>
  <si>
    <t>Bill of Material (BOM) for Reference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</si>
</sst>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00"/>
    <numFmt numFmtId="165" formatCode="&quot;$&quot;#,##0.00"/>
    <numFmt numFmtId="166" formatCode="_-[$$-409]* #,##0.00_ ;_-[$$-409]* \-#,##0.00\ ;_-[$$-409]* &quot;-&quot;??_ ;_-@_ "/>
    <numFmt numFmtId="167" formatCode="&quot;$&quot;#,##0.00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sz val="11"/>
      <color rgb="FF444444"/>
      <name val="Arial"/>
      <family val="2"/>
    </font>
    <font>
      <sz val="10"/>
      <color rgb="FF333333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444444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65">
    <xf numFmtId="0" fontId="0" fillId="0" borderId="0" xfId="0"/>
    <xf numFmtId="0" fontId="4" fillId="0" borderId="2" xfId="0" quotePrefix="1" applyFont="1" applyBorder="1"/>
    <xf numFmtId="0" fontId="4" fillId="3" borderId="3" xfId="0" quotePrefix="1" applyFont="1" applyFill="1" applyBorder="1" applyAlignment="1">
      <alignment horizontal="center" vertical="center"/>
    </xf>
    <xf numFmtId="0" fontId="4" fillId="0" borderId="3" xfId="0" quotePrefix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4" fontId="7" fillId="0" borderId="3" xfId="1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0" xfId="0" applyFont="1"/>
    <xf numFmtId="0" fontId="4" fillId="0" borderId="6" xfId="0" quotePrefix="1" applyFont="1" applyBorder="1"/>
    <xf numFmtId="0" fontId="5" fillId="3" borderId="7" xfId="0" quotePrefix="1" applyFont="1" applyFill="1" applyBorder="1" applyAlignment="1">
      <alignment horizontal="center" vertical="center" wrapText="1"/>
    </xf>
    <xf numFmtId="0" fontId="4" fillId="0" borderId="7" xfId="0" quotePrefix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64" fontId="7" fillId="0" borderId="7" xfId="1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3" borderId="7" xfId="0" quotePrefix="1" applyFont="1" applyFill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7" fillId="0" borderId="7" xfId="1" quotePrefix="1" applyFont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4" fillId="0" borderId="10" xfId="0" quotePrefix="1" applyFont="1" applyBorder="1"/>
    <xf numFmtId="0" fontId="4" fillId="3" borderId="11" xfId="0" quotePrefix="1" applyFont="1" applyFill="1" applyBorder="1" applyAlignment="1">
      <alignment horizontal="center" vertical="center"/>
    </xf>
    <xf numFmtId="0" fontId="4" fillId="0" borderId="11" xfId="0" quotePrefix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11" xfId="0" quotePrefix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7" fillId="0" borderId="11" xfId="1" quotePrefix="1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3" borderId="3" xfId="0" quotePrefix="1" applyFont="1" applyFill="1" applyBorder="1" applyAlignment="1">
      <alignment horizontal="center" vertical="center" wrapText="1"/>
    </xf>
    <xf numFmtId="0" fontId="5" fillId="0" borderId="3" xfId="0" quotePrefix="1" applyFont="1" applyBorder="1" applyAlignment="1">
      <alignment horizontal="center" vertical="center"/>
    </xf>
    <xf numFmtId="166" fontId="9" fillId="3" borderId="4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5" fillId="0" borderId="2" xfId="0" quotePrefix="1" applyFont="1" applyBorder="1" applyAlignment="1">
      <alignment vertical="center" wrapText="1"/>
    </xf>
    <xf numFmtId="0" fontId="5" fillId="0" borderId="3" xfId="0" quotePrefix="1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5" fillId="0" borderId="4" xfId="0" applyFont="1" applyBorder="1"/>
    <xf numFmtId="0" fontId="4" fillId="0" borderId="11" xfId="0" applyFont="1" applyFill="1" applyBorder="1" applyAlignment="1">
      <alignment horizontal="center" vertical="center"/>
    </xf>
    <xf numFmtId="0" fontId="5" fillId="3" borderId="11" xfId="0" quotePrefix="1" applyFont="1" applyFill="1" applyBorder="1" applyAlignment="1">
      <alignment horizontal="center" vertical="center" wrapText="1"/>
    </xf>
    <xf numFmtId="0" fontId="4" fillId="0" borderId="7" xfId="0" quotePrefix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4" fillId="0" borderId="6" xfId="0" quotePrefix="1" applyFont="1" applyBorder="1" applyAlignment="1">
      <alignment horizontal="left" vertical="center" wrapText="1"/>
    </xf>
    <xf numFmtId="0" fontId="5" fillId="0" borderId="6" xfId="0" quotePrefix="1" applyFont="1" applyBorder="1" applyAlignment="1">
      <alignment vertical="center"/>
    </xf>
    <xf numFmtId="0" fontId="5" fillId="0" borderId="7" xfId="0" quotePrefix="1" applyFont="1" applyBorder="1" applyAlignment="1">
      <alignment horizontal="center" vertical="center" wrapText="1"/>
    </xf>
    <xf numFmtId="0" fontId="5" fillId="0" borderId="13" xfId="0" quotePrefix="1" applyFont="1" applyBorder="1" applyAlignment="1">
      <alignment vertical="center" wrapText="1"/>
    </xf>
    <xf numFmtId="0" fontId="5" fillId="3" borderId="14" xfId="0" quotePrefix="1" applyFont="1" applyFill="1" applyBorder="1" applyAlignment="1">
      <alignment horizontal="center" vertical="center" wrapText="1"/>
    </xf>
    <xf numFmtId="0" fontId="5" fillId="0" borderId="14" xfId="0" quotePrefix="1" applyFont="1" applyBorder="1" applyAlignment="1">
      <alignment horizontal="center" vertical="center" wrapText="1"/>
    </xf>
    <xf numFmtId="0" fontId="4" fillId="0" borderId="14" xfId="0" quotePrefix="1" applyFont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6" xfId="0" quotePrefix="1" applyFont="1" applyBorder="1" applyAlignment="1">
      <alignment vertical="center" wrapText="1"/>
    </xf>
    <xf numFmtId="0" fontId="8" fillId="3" borderId="8" xfId="0" applyFont="1" applyFill="1" applyBorder="1" applyAlignment="1">
      <alignment horizontal="center" vertical="center"/>
    </xf>
    <xf numFmtId="166" fontId="9" fillId="3" borderId="8" xfId="0" applyNumberFormat="1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" fillId="0" borderId="17" xfId="0" quotePrefix="1" applyFont="1" applyBorder="1"/>
    <xf numFmtId="0" fontId="4" fillId="0" borderId="18" xfId="0" quotePrefix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10" fillId="4" borderId="6" xfId="0" quotePrefix="1" applyFont="1" applyFill="1" applyBorder="1" applyAlignment="1">
      <alignment horizontal="left" vertical="center" wrapText="1"/>
    </xf>
    <xf numFmtId="0" fontId="10" fillId="4" borderId="7" xfId="0" quotePrefix="1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/>
    </xf>
    <xf numFmtId="0" fontId="10" fillId="4" borderId="7" xfId="0" quotePrefix="1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164" fontId="10" fillId="4" borderId="7" xfId="0" quotePrefix="1" applyNumberFormat="1" applyFont="1" applyFill="1" applyBorder="1" applyAlignment="1">
      <alignment horizontal="center" vertical="center"/>
    </xf>
    <xf numFmtId="166" fontId="9" fillId="4" borderId="8" xfId="0" applyNumberFormat="1" applyFont="1" applyFill="1" applyBorder="1" applyAlignment="1">
      <alignment horizontal="center" vertical="center"/>
    </xf>
    <xf numFmtId="0" fontId="10" fillId="4" borderId="10" xfId="0" quotePrefix="1" applyFont="1" applyFill="1" applyBorder="1" applyAlignment="1">
      <alignment horizontal="left" vertical="center" wrapText="1"/>
    </xf>
    <xf numFmtId="0" fontId="10" fillId="4" borderId="11" xfId="0" quotePrefix="1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/>
    </xf>
    <xf numFmtId="0" fontId="10" fillId="4" borderId="11" xfId="0" quotePrefix="1" applyFont="1" applyFill="1" applyBorder="1" applyAlignment="1">
      <alignment horizontal="center" vertical="center"/>
    </xf>
    <xf numFmtId="0" fontId="10" fillId="4" borderId="14" xfId="0" quotePrefix="1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166" fontId="9" fillId="4" borderId="20" xfId="0" applyNumberFormat="1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4" fillId="0" borderId="6" xfId="0" applyFont="1" applyFill="1" applyBorder="1"/>
    <xf numFmtId="0" fontId="4" fillId="0" borderId="10" xfId="0" applyFont="1" applyFill="1" applyBorder="1"/>
    <xf numFmtId="0" fontId="5" fillId="4" borderId="1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5" fontId="5" fillId="0" borderId="0" xfId="0" applyNumberFormat="1" applyFont="1" applyFill="1" applyBorder="1" applyAlignment="1">
      <alignment horizontal="center" vertical="center"/>
    </xf>
    <xf numFmtId="0" fontId="11" fillId="5" borderId="0" xfId="0" applyFont="1" applyFill="1" applyAlignment="1">
      <alignment horizontal="left" vertical="top" wrapText="1"/>
    </xf>
    <xf numFmtId="0" fontId="0" fillId="5" borderId="0" xfId="0" applyFill="1"/>
    <xf numFmtId="0" fontId="2" fillId="2" borderId="22" xfId="0" applyFont="1" applyFill="1" applyBorder="1" applyAlignment="1">
      <alignment horizontal="center" vertical="center"/>
    </xf>
    <xf numFmtId="0" fontId="4" fillId="4" borderId="7" xfId="0" quotePrefix="1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5" fillId="0" borderId="6" xfId="0" quotePrefix="1" applyFont="1" applyFill="1" applyBorder="1" applyAlignment="1">
      <alignment vertical="center" wrapText="1"/>
    </xf>
    <xf numFmtId="0" fontId="5" fillId="0" borderId="7" xfId="0" quotePrefix="1" applyFont="1" applyFill="1" applyBorder="1" applyAlignment="1">
      <alignment horizontal="center" vertical="center" wrapText="1"/>
    </xf>
    <xf numFmtId="0" fontId="5" fillId="0" borderId="0" xfId="0" applyFont="1"/>
    <xf numFmtId="0" fontId="14" fillId="5" borderId="0" xfId="0" applyFont="1" applyFill="1" applyAlignment="1">
      <alignment horizontal="left" vertical="top" wrapText="1"/>
    </xf>
    <xf numFmtId="165" fontId="5" fillId="0" borderId="0" xfId="0" applyNumberFormat="1" applyFont="1" applyAlignment="1">
      <alignment horizontal="center" vertical="center"/>
    </xf>
    <xf numFmtId="0" fontId="4" fillId="4" borderId="6" xfId="0" quotePrefix="1" applyFont="1" applyFill="1" applyBorder="1" applyAlignment="1"/>
    <xf numFmtId="0" fontId="5" fillId="4" borderId="7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164" fontId="7" fillId="0" borderId="25" xfId="1" applyNumberFormat="1" applyFont="1" applyBorder="1" applyAlignment="1">
      <alignment horizontal="center" vertical="center"/>
    </xf>
    <xf numFmtId="164" fontId="7" fillId="0" borderId="26" xfId="1" applyNumberFormat="1" applyFont="1" applyBorder="1" applyAlignment="1">
      <alignment horizontal="center" vertical="center"/>
    </xf>
    <xf numFmtId="0" fontId="7" fillId="0" borderId="26" xfId="1" quotePrefix="1" applyFont="1" applyBorder="1" applyAlignment="1">
      <alignment horizontal="center" vertical="center"/>
    </xf>
    <xf numFmtId="0" fontId="7" fillId="4" borderId="26" xfId="1" quotePrefix="1" applyFont="1" applyFill="1" applyBorder="1" applyAlignment="1">
      <alignment horizontal="center" vertical="center"/>
    </xf>
    <xf numFmtId="0" fontId="7" fillId="0" borderId="27" xfId="1" quotePrefix="1" applyFont="1" applyBorder="1" applyAlignment="1">
      <alignment horizontal="center" vertical="center"/>
    </xf>
    <xf numFmtId="0" fontId="7" fillId="0" borderId="25" xfId="1" quotePrefix="1" applyFont="1" applyBorder="1" applyAlignment="1">
      <alignment horizontal="center" vertical="center"/>
    </xf>
    <xf numFmtId="0" fontId="7" fillId="0" borderId="23" xfId="1" quotePrefix="1" applyFont="1" applyBorder="1" applyAlignment="1">
      <alignment horizontal="center" vertical="center"/>
    </xf>
    <xf numFmtId="164" fontId="7" fillId="0" borderId="28" xfId="1" applyNumberFormat="1" applyFont="1" applyBorder="1" applyAlignment="1">
      <alignment horizontal="center" vertical="center"/>
    </xf>
    <xf numFmtId="0" fontId="7" fillId="0" borderId="26" xfId="1" applyFont="1" applyBorder="1" applyAlignment="1">
      <alignment horizontal="center" vertical="center"/>
    </xf>
    <xf numFmtId="0" fontId="10" fillId="4" borderId="26" xfId="0" quotePrefix="1" applyFont="1" applyFill="1" applyBorder="1" applyAlignment="1">
      <alignment horizontal="center" vertical="center"/>
    </xf>
    <xf numFmtId="0" fontId="10" fillId="4" borderId="29" xfId="0" quotePrefix="1" applyFont="1" applyFill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7" fillId="0" borderId="27" xfId="1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4" fillId="0" borderId="7" xfId="0" quotePrefix="1" applyFont="1" applyBorder="1"/>
    <xf numFmtId="0" fontId="4" fillId="0" borderId="3" xfId="0" quotePrefix="1" applyFont="1" applyBorder="1"/>
    <xf numFmtId="0" fontId="4" fillId="0" borderId="11" xfId="0" quotePrefix="1" applyFont="1" applyBorder="1"/>
    <xf numFmtId="0" fontId="7" fillId="0" borderId="0" xfId="1" quotePrefix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64" fontId="7" fillId="0" borderId="29" xfId="1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164" fontId="10" fillId="4" borderId="11" xfId="0" quotePrefix="1" applyNumberFormat="1" applyFont="1" applyFill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4" fontId="4" fillId="0" borderId="7" xfId="0" applyNumberFormat="1" applyFont="1" applyBorder="1" applyAlignment="1">
      <alignment horizontal="center" vertical="center"/>
    </xf>
    <xf numFmtId="164" fontId="12" fillId="0" borderId="7" xfId="0" applyNumberFormat="1" applyFont="1" applyBorder="1" applyAlignment="1">
      <alignment horizontal="center" vertical="center"/>
    </xf>
    <xf numFmtId="164" fontId="4" fillId="4" borderId="7" xfId="0" applyNumberFormat="1" applyFont="1" applyFill="1" applyBorder="1" applyAlignment="1">
      <alignment horizontal="center" vertical="center"/>
    </xf>
    <xf numFmtId="164" fontId="5" fillId="4" borderId="7" xfId="0" applyNumberFormat="1" applyFont="1" applyFill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164" fontId="4" fillId="0" borderId="7" xfId="0" applyNumberFormat="1" applyFont="1" applyFill="1" applyBorder="1" applyAlignment="1">
      <alignment horizontal="center" vertical="center"/>
    </xf>
    <xf numFmtId="0" fontId="4" fillId="4" borderId="17" xfId="0" quotePrefix="1" applyFont="1" applyFill="1" applyBorder="1"/>
    <xf numFmtId="0" fontId="4" fillId="4" borderId="18" xfId="0" quotePrefix="1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6" fillId="4" borderId="18" xfId="1" quotePrefix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0" fontId="6" fillId="0" borderId="7" xfId="1" quotePrefix="1" applyFont="1" applyBorder="1" applyAlignment="1">
      <alignment horizontal="center" vertical="center"/>
    </xf>
    <xf numFmtId="0" fontId="4" fillId="4" borderId="6" xfId="0" quotePrefix="1" applyFont="1" applyFill="1" applyBorder="1"/>
    <xf numFmtId="0" fontId="5" fillId="4" borderId="7" xfId="0" applyFont="1" applyFill="1" applyBorder="1" applyAlignment="1">
      <alignment horizontal="center" vertical="center" wrapText="1"/>
    </xf>
    <xf numFmtId="165" fontId="12" fillId="4" borderId="0" xfId="0" applyNumberFormat="1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26" xfId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7" xfId="0" quotePrefix="1" applyFont="1" applyBorder="1" applyAlignment="1">
      <alignment horizontal="left" vertical="top"/>
    </xf>
    <xf numFmtId="0" fontId="4" fillId="0" borderId="7" xfId="0" quotePrefix="1" applyFont="1" applyFill="1" applyBorder="1"/>
    <xf numFmtId="0" fontId="7" fillId="0" borderId="7" xfId="1" quotePrefix="1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4" fillId="3" borderId="7" xfId="0" quotePrefix="1" applyFont="1" applyFill="1" applyBorder="1" applyAlignment="1"/>
    <xf numFmtId="0" fontId="4" fillId="3" borderId="7" xfId="0" applyFont="1" applyFill="1" applyBorder="1" applyAlignment="1">
      <alignment horizontal="center" vertical="center"/>
    </xf>
    <xf numFmtId="0" fontId="5" fillId="3" borderId="7" xfId="0" quotePrefix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164" fontId="4" fillId="3" borderId="7" xfId="0" applyNumberFormat="1" applyFont="1" applyFill="1" applyBorder="1" applyAlignment="1">
      <alignment horizontal="center" vertical="center"/>
    </xf>
    <xf numFmtId="164" fontId="4" fillId="3" borderId="11" xfId="0" applyNumberFormat="1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4" fillId="3" borderId="21" xfId="0" quotePrefix="1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 wrapText="1"/>
    </xf>
    <xf numFmtId="0" fontId="5" fillId="3" borderId="11" xfId="0" quotePrefix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5" fillId="3" borderId="3" xfId="0" quotePrefix="1" applyFont="1" applyFill="1" applyBorder="1" applyAlignment="1">
      <alignment horizontal="center" vertical="center"/>
    </xf>
    <xf numFmtId="0" fontId="4" fillId="3" borderId="6" xfId="0" quotePrefix="1" applyFont="1" applyFill="1" applyBorder="1"/>
    <xf numFmtId="164" fontId="7" fillId="3" borderId="26" xfId="1" applyNumberFormat="1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24" xfId="0" applyFont="1" applyFill="1" applyBorder="1"/>
    <xf numFmtId="0" fontId="4" fillId="3" borderId="7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/>
    </xf>
    <xf numFmtId="0" fontId="5" fillId="6" borderId="14" xfId="0" quotePrefix="1" applyFont="1" applyFill="1" applyBorder="1" applyAlignment="1">
      <alignment horizontal="center" vertical="center" wrapText="1"/>
    </xf>
    <xf numFmtId="0" fontId="4" fillId="6" borderId="14" xfId="0" quotePrefix="1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4" fillId="6" borderId="11" xfId="0" quotePrefix="1" applyFont="1" applyFill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10" fillId="3" borderId="7" xfId="0" quotePrefix="1" applyFont="1" applyFill="1" applyBorder="1" applyAlignment="1">
      <alignment horizontal="center" vertical="center"/>
    </xf>
    <xf numFmtId="0" fontId="5" fillId="0" borderId="2" xfId="0" quotePrefix="1" applyFont="1" applyBorder="1" applyAlignment="1">
      <alignment vertical="center"/>
    </xf>
    <xf numFmtId="0" fontId="5" fillId="3" borderId="10" xfId="0" quotePrefix="1" applyFont="1" applyFill="1" applyBorder="1" applyAlignment="1">
      <alignment vertical="center"/>
    </xf>
    <xf numFmtId="0" fontId="13" fillId="3" borderId="0" xfId="0" applyFont="1" applyFill="1" applyBorder="1" applyAlignment="1">
      <alignment horizontal="center" wrapText="1"/>
    </xf>
    <xf numFmtId="0" fontId="2" fillId="2" borderId="34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1" fontId="5" fillId="0" borderId="7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166" fontId="9" fillId="3" borderId="7" xfId="0" applyNumberFormat="1" applyFont="1" applyFill="1" applyBorder="1" applyAlignment="1">
      <alignment horizontal="center" vertical="center"/>
    </xf>
    <xf numFmtId="0" fontId="5" fillId="0" borderId="7" xfId="0" quotePrefix="1" applyFont="1" applyBorder="1" applyAlignment="1">
      <alignment vertical="center" wrapText="1"/>
    </xf>
    <xf numFmtId="0" fontId="4" fillId="3" borderId="7" xfId="0" quotePrefix="1" applyFont="1" applyFill="1" applyBorder="1"/>
    <xf numFmtId="164" fontId="7" fillId="3" borderId="7" xfId="1" applyNumberFormat="1" applyFont="1" applyFill="1" applyBorder="1" applyAlignment="1">
      <alignment horizontal="center" vertical="center"/>
    </xf>
    <xf numFmtId="0" fontId="4" fillId="4" borderId="7" xfId="0" quotePrefix="1" applyFont="1" applyFill="1" applyBorder="1"/>
    <xf numFmtId="0" fontId="7" fillId="4" borderId="7" xfId="1" quotePrefix="1" applyFont="1" applyFill="1" applyBorder="1" applyAlignment="1">
      <alignment horizontal="center" vertical="center"/>
    </xf>
    <xf numFmtId="0" fontId="4" fillId="0" borderId="7" xfId="0" quotePrefix="1" applyFont="1" applyBorder="1" applyAlignment="1">
      <alignment horizontal="left" vertical="center" wrapText="1"/>
    </xf>
    <xf numFmtId="0" fontId="5" fillId="0" borderId="7" xfId="0" quotePrefix="1" applyFont="1" applyBorder="1" applyAlignment="1">
      <alignment vertical="center"/>
    </xf>
    <xf numFmtId="0" fontId="8" fillId="4" borderId="7" xfId="0" applyFont="1" applyFill="1" applyBorder="1" applyAlignment="1">
      <alignment horizontal="center" vertical="center"/>
    </xf>
    <xf numFmtId="0" fontId="4" fillId="4" borderId="7" xfId="0" quotePrefix="1" applyFont="1" applyFill="1" applyBorder="1" applyAlignment="1"/>
    <xf numFmtId="0" fontId="5" fillId="0" borderId="7" xfId="0" quotePrefix="1" applyFont="1" applyFill="1" applyBorder="1" applyAlignment="1">
      <alignment vertical="center" wrapText="1"/>
    </xf>
    <xf numFmtId="0" fontId="15" fillId="0" borderId="7" xfId="0" applyFont="1" applyBorder="1" applyAlignment="1">
      <alignment horizontal="center" vertical="center"/>
    </xf>
    <xf numFmtId="0" fontId="6" fillId="0" borderId="7" xfId="1" applyBorder="1" applyAlignment="1">
      <alignment horizontal="center" vertical="center"/>
    </xf>
    <xf numFmtId="165" fontId="4" fillId="0" borderId="7" xfId="0" applyNumberFormat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10" fillId="4" borderId="7" xfId="0" quotePrefix="1" applyFont="1" applyFill="1" applyBorder="1" applyAlignment="1">
      <alignment horizontal="left" vertical="center" wrapText="1"/>
    </xf>
    <xf numFmtId="166" fontId="9" fillId="4" borderId="7" xfId="0" applyNumberFormat="1" applyFont="1" applyFill="1" applyBorder="1" applyAlignment="1">
      <alignment horizontal="center" vertical="center"/>
    </xf>
    <xf numFmtId="0" fontId="4" fillId="0" borderId="7" xfId="0" applyFont="1" applyFill="1" applyBorder="1"/>
    <xf numFmtId="0" fontId="4" fillId="0" borderId="18" xfId="0" quotePrefix="1" applyFont="1" applyBorder="1"/>
    <xf numFmtId="0" fontId="5" fillId="3" borderId="18" xfId="0" quotePrefix="1" applyFont="1" applyFill="1" applyBorder="1" applyAlignment="1">
      <alignment horizontal="center" vertical="center" wrapText="1"/>
    </xf>
    <xf numFmtId="0" fontId="4" fillId="3" borderId="18" xfId="0" quotePrefix="1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5" fillId="3" borderId="18" xfId="0" quotePrefix="1" applyFont="1" applyFill="1" applyBorder="1" applyAlignment="1">
      <alignment horizontal="center" vertical="center"/>
    </xf>
    <xf numFmtId="1" fontId="5" fillId="0" borderId="18" xfId="0" applyNumberFormat="1" applyFont="1" applyBorder="1" applyAlignment="1">
      <alignment horizontal="center" vertical="center"/>
    </xf>
    <xf numFmtId="0" fontId="7" fillId="0" borderId="18" xfId="1" quotePrefix="1" applyFont="1" applyBorder="1" applyAlignment="1">
      <alignment horizontal="center" vertical="center"/>
    </xf>
    <xf numFmtId="164" fontId="4" fillId="0" borderId="18" xfId="0" applyNumberFormat="1" applyFont="1" applyBorder="1" applyAlignment="1">
      <alignment horizontal="center" vertical="center"/>
    </xf>
    <xf numFmtId="164" fontId="5" fillId="0" borderId="18" xfId="0" applyNumberFormat="1" applyFont="1" applyBorder="1" applyAlignment="1">
      <alignment horizontal="center" vertical="center"/>
    </xf>
    <xf numFmtId="166" fontId="9" fillId="3" borderId="18" xfId="0" applyNumberFormat="1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1" fontId="5" fillId="0" borderId="11" xfId="0" applyNumberFormat="1" applyFont="1" applyBorder="1" applyAlignment="1">
      <alignment horizontal="center" vertical="center"/>
    </xf>
    <xf numFmtId="0" fontId="5" fillId="0" borderId="18" xfId="0" quotePrefix="1" applyFont="1" applyBorder="1" applyAlignment="1">
      <alignment vertical="center" wrapText="1"/>
    </xf>
    <xf numFmtId="0" fontId="5" fillId="0" borderId="18" xfId="0" quotePrefix="1" applyFont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/>
    </xf>
    <xf numFmtId="0" fontId="5" fillId="0" borderId="18" xfId="0" applyFont="1" applyBorder="1"/>
    <xf numFmtId="0" fontId="5" fillId="3" borderId="18" xfId="0" applyFont="1" applyFill="1" applyBorder="1"/>
    <xf numFmtId="0" fontId="5" fillId="3" borderId="11" xfId="0" quotePrefix="1" applyFont="1" applyFill="1" applyBorder="1" applyAlignment="1">
      <alignment vertical="center" wrapText="1"/>
    </xf>
    <xf numFmtId="0" fontId="8" fillId="3" borderId="11" xfId="0" applyFont="1" applyFill="1" applyBorder="1" applyAlignment="1">
      <alignment horizontal="center" vertical="center"/>
    </xf>
    <xf numFmtId="164" fontId="7" fillId="0" borderId="18" xfId="1" applyNumberFormat="1" applyFont="1" applyBorder="1" applyAlignment="1">
      <alignment horizontal="center" vertical="center"/>
    </xf>
    <xf numFmtId="0" fontId="4" fillId="4" borderId="18" xfId="0" quotePrefix="1" applyFont="1" applyFill="1" applyBorder="1"/>
    <xf numFmtId="165" fontId="12" fillId="4" borderId="18" xfId="0" applyNumberFormat="1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0" fontId="5" fillId="0" borderId="11" xfId="0" quotePrefix="1" applyFont="1" applyBorder="1" applyAlignment="1">
      <alignment vertical="center" wrapText="1"/>
    </xf>
    <xf numFmtId="0" fontId="5" fillId="0" borderId="11" xfId="0" quotePrefix="1" applyFont="1" applyBorder="1" applyAlignment="1">
      <alignment horizontal="center" vertical="center" wrapText="1"/>
    </xf>
    <xf numFmtId="0" fontId="5" fillId="6" borderId="11" xfId="0" quotePrefix="1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/>
    </xf>
    <xf numFmtId="164" fontId="7" fillId="0" borderId="11" xfId="1" applyNumberFormat="1" applyFont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8" xfId="0" quotePrefix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10" fillId="4" borderId="11" xfId="0" quotePrefix="1" applyFont="1" applyFill="1" applyBorder="1" applyAlignment="1">
      <alignment horizontal="left" vertical="center" wrapText="1"/>
    </xf>
    <xf numFmtId="0" fontId="10" fillId="0" borderId="11" xfId="0" applyFont="1" applyBorder="1" applyAlignment="1">
      <alignment horizontal="center" vertical="center" wrapText="1"/>
    </xf>
    <xf numFmtId="166" fontId="9" fillId="4" borderId="11" xfId="0" applyNumberFormat="1" applyFont="1" applyFill="1" applyBorder="1" applyAlignment="1">
      <alignment horizontal="center" vertical="center"/>
    </xf>
    <xf numFmtId="0" fontId="4" fillId="0" borderId="11" xfId="0" applyFont="1" applyFill="1" applyBorder="1"/>
    <xf numFmtId="0" fontId="7" fillId="0" borderId="11" xfId="1" applyFont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csc.com/product-detail/Chip-Resistor-Surface-Mount_PANASONIC-ERJPA2F1003X_C427253.html" TargetMode="External"/><Relationship Id="rId18" Type="http://schemas.openxmlformats.org/officeDocument/2006/relationships/hyperlink" Target="https://lcsc.com/product-detail/Multilayer-Ceramic-Capacitors-MLCC-SMD-SMT_Murata-Electronics-GRM1555C1E330JA01D_C441758.html" TargetMode="External"/><Relationship Id="rId26" Type="http://schemas.openxmlformats.org/officeDocument/2006/relationships/hyperlink" Target="https://lcsc.com/product-detail/Chip-Resistor-Surface-Mount_UNI-ROYAL-Uniroyal-Elec-0402WGF5363TCE_C68457.html" TargetMode="External"/><Relationship Id="rId39" Type="http://schemas.openxmlformats.org/officeDocument/2006/relationships/hyperlink" Target="https://lcsc.com/product-detail/Pin-Header-Female-Header_PINREX-210-91-02GB01_C390678.html" TargetMode="External"/><Relationship Id="rId21" Type="http://schemas.openxmlformats.org/officeDocument/2006/relationships/hyperlink" Target="https://lcsc.com/product-detail/Power-Inductors_Sumida-0630CDMCCDS-6R8MC_C167295.html" TargetMode="External"/><Relationship Id="rId34" Type="http://schemas.openxmlformats.org/officeDocument/2006/relationships/hyperlink" Target="https://lcsc.com/product-detail/Wire-To-Board-Wire-To-Wire-Connector_JST-Sales-America-B3B-XH-A-LF-SN_C144394.html" TargetMode="External"/><Relationship Id="rId42" Type="http://schemas.openxmlformats.org/officeDocument/2006/relationships/hyperlink" Target="https://www.twilio.com/console/iot/orders/new" TargetMode="External"/><Relationship Id="rId47" Type="http://schemas.openxmlformats.org/officeDocument/2006/relationships/hyperlink" Target="https://lcsc.com/product-detail/Chip-Resistor-Surface-Mount_KOA-Speer-Elec-RK73H1ETTP3003F_C316883.html" TargetMode="External"/><Relationship Id="rId50" Type="http://schemas.openxmlformats.org/officeDocument/2006/relationships/hyperlink" Target="https://www.aliexpress.com/item/4000384795802.html?spm=a2g0o.productlist.0.0.5e375064x2nWjR&amp;algo_pvid=5269e6b6-7662-4320-b2b3-2dbd1445c1b6&amp;algo_expid=5269e6b6-7662-4320-b2b3-2dbd1445c1b6-1&amp;btsid=0b0a556316232285620775974e36a1&amp;ws_ab_test=searchweb0_0,searc" TargetMode="External"/><Relationship Id="rId55" Type="http://schemas.openxmlformats.org/officeDocument/2006/relationships/hyperlink" Target="https://lcsc.com/product-detail/Multilayer-Ceramic-Capacitors-MLCC-SMD-SMT_TDK-C1005X5R1E105KT000E_C191909.html" TargetMode="External"/><Relationship Id="rId7" Type="http://schemas.openxmlformats.org/officeDocument/2006/relationships/hyperlink" Target="https://lcsc.com/product-detail/FFC-FPC-Connectors_XKB-Connectivity-X10B25U15T_C500193.html" TargetMode="External"/><Relationship Id="rId2" Type="http://schemas.openxmlformats.org/officeDocument/2006/relationships/hyperlink" Target="https://lcsc.com/product-detail/Multilayer-Ceramic-Capacitors-MLCC-SMD-SMT_Murata-Electronics-GRM31CR61E476ME44L_C403725.html" TargetMode="External"/><Relationship Id="rId16" Type="http://schemas.openxmlformats.org/officeDocument/2006/relationships/hyperlink" Target="https://lcsc.com/product-detail/Multilayer-Ceramic-Capacitors-MLCC-SMD-SMT_YAGEO-CC1206KKX7R9BB224_C107186.html" TargetMode="External"/><Relationship Id="rId29" Type="http://schemas.openxmlformats.org/officeDocument/2006/relationships/hyperlink" Target="https://lcsc.com/product-detail/Chip-Resistor-Surface-Mount_10KR-103-5_C60489.html" TargetMode="External"/><Relationship Id="rId11" Type="http://schemas.openxmlformats.org/officeDocument/2006/relationships/hyperlink" Target="https://lcsc.com/product-detail/Chip-Resistor-Surface-Mount_0R-0R0-1_C106231.html" TargetMode="External"/><Relationship Id="rId24" Type="http://schemas.openxmlformats.org/officeDocument/2006/relationships/hyperlink" Target="https://lcsc.com/product-detail/Chip-Resistor-Surface-Mount_UNI-ROYAL-Uniroyal-Elec-0402WGF3013TCE_C25775.html" TargetMode="External"/><Relationship Id="rId32" Type="http://schemas.openxmlformats.org/officeDocument/2006/relationships/hyperlink" Target="https://lcsc.com/product-detail/USB-ICs_ON-Semiconductor-ON-FSUSB42UMX_C11145.html" TargetMode="External"/><Relationship Id="rId37" Type="http://schemas.openxmlformats.org/officeDocument/2006/relationships/hyperlink" Target="https://lcsc.com/product-detail/Chip-Resistor-Surface-Mount_YAGEO-AF0402JR-071ML_C144054.html" TargetMode="External"/><Relationship Id="rId40" Type="http://schemas.openxmlformats.org/officeDocument/2006/relationships/hyperlink" Target="https://lcsc.com/product-detail/Aluminum-Electrolytic-Capacitors-SMD_PANASONIC-EEEFK1E100R_C178538.html" TargetMode="External"/><Relationship Id="rId45" Type="http://schemas.openxmlformats.org/officeDocument/2006/relationships/hyperlink" Target="https://pl.aliexpress.com/item/32989034569.html?spm=a2g0o.productlist.0.0.1869c1a38l0mzB&amp;algo_pvid=aeec6dff-7f07-44af-a72f-51485c99c7d6&amp;algo_expid=aeec6dff-7f07-44af-a72f-51485c99c7d6-3&amp;btsid=0bb0623a16227095389538431efb24&amp;ws_ab_test=searchweb0_0,searchwe" TargetMode="External"/><Relationship Id="rId53" Type="http://schemas.openxmlformats.org/officeDocument/2006/relationships/hyperlink" Target="https://lcsc.com/product-detail/Others_TDK-C2012X5R1V106MT0J0E_C342723.html" TargetMode="External"/><Relationship Id="rId5" Type="http://schemas.openxmlformats.org/officeDocument/2006/relationships/hyperlink" Target="https://lcsc.com/product-detail/USB-Connectors_Amphenol-ICC-10118192-0001LF_C132564.html" TargetMode="External"/><Relationship Id="rId19" Type="http://schemas.openxmlformats.org/officeDocument/2006/relationships/hyperlink" Target="https://lcsc.com/product-detail/Light-Emitting-Diodes-LED_TOGIALED-TJ-S1005CL4T5ALC2G-A5_C917188.html" TargetMode="External"/><Relationship Id="rId4" Type="http://schemas.openxmlformats.org/officeDocument/2006/relationships/hyperlink" Target="https://lcsc.com/product-detail/Card-Edge-Connectors_TE-Connectivity-1565917-4_C279171.html" TargetMode="External"/><Relationship Id="rId9" Type="http://schemas.openxmlformats.org/officeDocument/2006/relationships/hyperlink" Target="https://lcsc.com/product-detail/Chip-Resistor-Surface-Mount_PANASONIC-ERJPA2F4702X_C427250.html" TargetMode="External"/><Relationship Id="rId14" Type="http://schemas.openxmlformats.org/officeDocument/2006/relationships/hyperlink" Target="https://lcsc.com/product-detail/Chip-Resistor-Surface-Mount_PANASONIC-ERJ2RKF1502X_C413097.html" TargetMode="External"/><Relationship Id="rId22" Type="http://schemas.openxmlformats.org/officeDocument/2006/relationships/hyperlink" Target="https://lcsc.com/product-detail/MOSFET_Diodes-Incorporated-DMG1012T-7_C20512.html" TargetMode="External"/><Relationship Id="rId27" Type="http://schemas.openxmlformats.org/officeDocument/2006/relationships/hyperlink" Target="https://lcsc.com/product-detail/Chip-Resistor-Surface-Mount_UNI-ROYAL-Uniroyal-Elec-0402WGF4533TCE_C27009.html" TargetMode="External"/><Relationship Id="rId30" Type="http://schemas.openxmlformats.org/officeDocument/2006/relationships/hyperlink" Target="https://lcsc.com/product-detail/Dropout-Regulators-LDO_Microchip-Tech-MIC29300-3-3WU-TR_C481370.html" TargetMode="External"/><Relationship Id="rId35" Type="http://schemas.openxmlformats.org/officeDocument/2006/relationships/hyperlink" Target="https://lcsc.com/product-detail/Schottky-Barrier-Diodes-SBD_Slkor-SLKORMICRO-Elec-SS34_C408258.html" TargetMode="External"/><Relationship Id="rId43" Type="http://schemas.openxmlformats.org/officeDocument/2006/relationships/hyperlink" Target="https://pl.aliexpress.com/item/32831783732.html?spm=a2g0o.productlist.0.0.73fa134dR631vM&amp;algo_pvid=ce159c88-3d64-484d-b337-4c573bb93b8e&amp;algo_expid=ce159c88-3d64-484d-b337-4c573bb93b8e-6&amp;btsid=0bb0623a16227086616891764efa72&amp;ws_ab_test=searchweb0_0,searchwe" TargetMode="External"/><Relationship Id="rId48" Type="http://schemas.openxmlformats.org/officeDocument/2006/relationships/hyperlink" Target="https://lcsc.com/product-detail/Analog-To-Digital-Converters-ADCs_Texas-Instruments-ADS1115IDGSR_C37593.html" TargetMode="External"/><Relationship Id="rId56" Type="http://schemas.openxmlformats.org/officeDocument/2006/relationships/hyperlink" Target="https://www.chipmall.com/product_detail/TDK/Fixed-Inductors/SLF10145T-100M2R5-PF_584129.html" TargetMode="External"/><Relationship Id="rId8" Type="http://schemas.openxmlformats.org/officeDocument/2006/relationships/hyperlink" Target="https://lcsc.com/product-detail/USB-Connectors_Jing-Extension-of-the-Electronic-Co-USB-A-F-900-Outside-the-buckle-straight-foot-Not-high-temperature_C2346.html" TargetMode="External"/><Relationship Id="rId51" Type="http://schemas.openxmlformats.org/officeDocument/2006/relationships/hyperlink" Target="https://www.aliexpress.com/item/1005001817764284.html" TargetMode="External"/><Relationship Id="rId3" Type="http://schemas.openxmlformats.org/officeDocument/2006/relationships/hyperlink" Target="https://lcsc.com/product-detail/FFC-FPC-Connectors_HRS-Hirose-HRS-TF31-40S-0-5SH-800_C596725.html" TargetMode="External"/><Relationship Id="rId12" Type="http://schemas.openxmlformats.org/officeDocument/2006/relationships/hyperlink" Target="https://lcsc.com/product-detail/Chip-Resistor-Surface-Mount_PANASONIC-ERJPA2F4700X_C427238.html" TargetMode="External"/><Relationship Id="rId17" Type="http://schemas.openxmlformats.org/officeDocument/2006/relationships/hyperlink" Target="https://lcsc.com/product-detail/Multilayer-Ceramic-Capacitors-MLCC-SMD-SMT_TDK-C3216X5R1E226KTJ00N_C338055.html" TargetMode="External"/><Relationship Id="rId25" Type="http://schemas.openxmlformats.org/officeDocument/2006/relationships/hyperlink" Target="https://lcsc.com/product-detail/Chip-Resistor-Surface-Mount_Ever-Ohms-Tech-CR1206FR050P05R_C149662.html" TargetMode="External"/><Relationship Id="rId33" Type="http://schemas.openxmlformats.org/officeDocument/2006/relationships/hyperlink" Target="https://lcsc.com/product-detail/MOSFET_Infineon-Technologies-IRF7319TRPBF_C2760082.html" TargetMode="External"/><Relationship Id="rId38" Type="http://schemas.openxmlformats.org/officeDocument/2006/relationships/hyperlink" Target="https://lcsc.com/product-detail/Pin-Header-Female-Header_PINREX-210-91-03GB01_C390679.html" TargetMode="External"/><Relationship Id="rId46" Type="http://schemas.openxmlformats.org/officeDocument/2006/relationships/hyperlink" Target="https://lcsc.com/product-detail/MOSFETs_Diodes-Incorporated_BSS138-7-F_Diodes-Incorporated-BSS138-7-F_C40912.html" TargetMode="External"/><Relationship Id="rId20" Type="http://schemas.openxmlformats.org/officeDocument/2006/relationships/hyperlink" Target="https://lcsc.com/product-detail/Diodes-General-Purpose_DIODES_S1A-13-F_S1A-13-F_C150735.html" TargetMode="External"/><Relationship Id="rId41" Type="http://schemas.openxmlformats.org/officeDocument/2006/relationships/hyperlink" Target="https://lcsc.com/product-detail/Aluminum-Electrolytic-Capacitors-SMD_PANASONIC-EEEFT1E471GP_C193277.html" TargetMode="External"/><Relationship Id="rId54" Type="http://schemas.openxmlformats.org/officeDocument/2006/relationships/hyperlink" Target="https://lcsc.com/product-detail/USB-Connectors_SOFNG-MC-318_C183608.html" TargetMode="External"/><Relationship Id="rId1" Type="http://schemas.openxmlformats.org/officeDocument/2006/relationships/hyperlink" Target="https://lcsc.com/product-detail/Multilayer-Ceramic-Capacitors-MLCC-SMD-SMT_FH-Guangdong-Fenghua-Advanced-Tech-0402F104M500NT_C1581.html" TargetMode="External"/><Relationship Id="rId6" Type="http://schemas.openxmlformats.org/officeDocument/2006/relationships/hyperlink" Target="https://lcsc.com/product-detail/Card-Edge-Connectors_MOLEX-679100002_C192736.html" TargetMode="External"/><Relationship Id="rId15" Type="http://schemas.openxmlformats.org/officeDocument/2006/relationships/hyperlink" Target="https://lcsc.com/product-detail/Multilayer-Ceramic-Capacitors-MLCC-SMD-SMT_Murata-Electronics-GRM31CR71H475KA12L_C77096.html" TargetMode="External"/><Relationship Id="rId23" Type="http://schemas.openxmlformats.org/officeDocument/2006/relationships/hyperlink" Target="https://lcsc.com/product-detail/Chip-Resistor-Surface-Mount_RALEC-RTT022492FTH_C102925.html" TargetMode="External"/><Relationship Id="rId28" Type="http://schemas.openxmlformats.org/officeDocument/2006/relationships/hyperlink" Target="https://lcsc.com/product-detail/Chip-Resistor-Surface-Mount_UNI-ROYAL-Uniroyal-Elec-0402WGJ0512TCE_C25941.html" TargetMode="External"/><Relationship Id="rId36" Type="http://schemas.openxmlformats.org/officeDocument/2006/relationships/hyperlink" Target="https://lcsc.com/product-detail/Chip-Resistor-Surface-Mount_RALEC-RTT032214FTP_C166858.html" TargetMode="External"/><Relationship Id="rId49" Type="http://schemas.openxmlformats.org/officeDocument/2006/relationships/hyperlink" Target="https://lcsc.com/brand-detail/11722.html" TargetMode="External"/><Relationship Id="rId57" Type="http://schemas.openxmlformats.org/officeDocument/2006/relationships/printerSettings" Target="../printerSettings/printerSettings1.bin"/><Relationship Id="rId10" Type="http://schemas.openxmlformats.org/officeDocument/2006/relationships/hyperlink" Target="https://lcsc.com/product-detail/Chip-Resistor-Surface-Mount_1-8KR-1801-1_C159960.html" TargetMode="External"/><Relationship Id="rId31" Type="http://schemas.openxmlformats.org/officeDocument/2006/relationships/hyperlink" Target="https://lcsc.com/product-detail/Dropout-Regulators-LDO_ON-Semiconductor-ON-NCP114BMX180TCG_C457759.html" TargetMode="External"/><Relationship Id="rId44" Type="http://schemas.openxmlformats.org/officeDocument/2006/relationships/hyperlink" Target="https://pl.aliexpress.com/item/4001193000381.html?spm=a2g0o.productlist.0.0.36781109QNyITh&amp;algo_pvid=03ac3ed0-edfe-4925-bd6d-e774082901ff&amp;algo_expid=03ac3ed0-edfe-4925-bd6d-e774082901ff-4&amp;btsid=0bb0622a16227089387861270eb744&amp;ws_ab_test=searchweb0_0,search" TargetMode="External"/><Relationship Id="rId52" Type="http://schemas.openxmlformats.org/officeDocument/2006/relationships/hyperlink" Target="https://french.alibaba.com/product-detail/bom-electronic-components-voltage-regulators-ic-automotive-36-v-4-a-synchronous-lm60440aqrpkrq1-1600215507702.html?spm=a2700.galleryofferlist.normal_offer.d_title.1fe51ea2t9Qz8E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lcsc.com/product-detail/Chip-Resistor-Surface-Mount_PANASONIC-ERJPA2F1003X_C427253.html" TargetMode="External"/><Relationship Id="rId18" Type="http://schemas.openxmlformats.org/officeDocument/2006/relationships/hyperlink" Target="https://lcsc.com/product-detail/Multilayer-Ceramic-Capacitors-MLCC-SMD-SMT_Murata-Electronics-GRM1555C1E330JA01D_C441758.html" TargetMode="External"/><Relationship Id="rId26" Type="http://schemas.openxmlformats.org/officeDocument/2006/relationships/hyperlink" Target="https://lcsc.com/product-detail/Chip-Resistor-Surface-Mount_UNI-ROYAL-Uniroyal-Elec-0402WGF5363TCE_C68457.html" TargetMode="External"/><Relationship Id="rId39" Type="http://schemas.openxmlformats.org/officeDocument/2006/relationships/hyperlink" Target="https://lcsc.com/product-detail/Pin-Header-Female-Header_PINREX-210-91-02GB01_C390678.html" TargetMode="External"/><Relationship Id="rId21" Type="http://schemas.openxmlformats.org/officeDocument/2006/relationships/hyperlink" Target="https://lcsc.com/product-detail/Power-Inductors_Sumida-0630CDMCCDS-6R8MC_C167295.html" TargetMode="External"/><Relationship Id="rId34" Type="http://schemas.openxmlformats.org/officeDocument/2006/relationships/hyperlink" Target="https://lcsc.com/product-detail/Wire-To-Board-Wire-To-Wire-Connector_JST-Sales-America-B3B-XH-A-LF-SN_C144394.html" TargetMode="External"/><Relationship Id="rId42" Type="http://schemas.openxmlformats.org/officeDocument/2006/relationships/hyperlink" Target="https://www.twilio.com/console/iot/orders/new" TargetMode="External"/><Relationship Id="rId47" Type="http://schemas.openxmlformats.org/officeDocument/2006/relationships/hyperlink" Target="https://lcsc.com/product-detail/Chip-Resistor-Surface-Mount_KOA-Speer-Elec-RK73H1ETTP3003F_C316883.html" TargetMode="External"/><Relationship Id="rId50" Type="http://schemas.openxmlformats.org/officeDocument/2006/relationships/hyperlink" Target="https://www.aliexpress.com/item/4000384795802.html?spm=a2g0o.productlist.0.0.5e375064x2nWjR&amp;algo_pvid=5269e6b6-7662-4320-b2b3-2dbd1445c1b6&amp;algo_expid=5269e6b6-7662-4320-b2b3-2dbd1445c1b6-1&amp;btsid=0b0a556316232285620775974e36a1&amp;ws_ab_test=searchweb0_0,searc" TargetMode="External"/><Relationship Id="rId55" Type="http://schemas.openxmlformats.org/officeDocument/2006/relationships/hyperlink" Target="https://lcsc.com/product-detail/Multilayer-Ceramic-Capacitors-MLCC-SMD-SMT_TDK-C1005X5R1E105KT000E_C191909.html" TargetMode="External"/><Relationship Id="rId7" Type="http://schemas.openxmlformats.org/officeDocument/2006/relationships/hyperlink" Target="https://lcsc.com/product-detail/FFC-FPC-Connectors_XKB-Connectivity-X10B25U15T_C500193.html" TargetMode="External"/><Relationship Id="rId2" Type="http://schemas.openxmlformats.org/officeDocument/2006/relationships/hyperlink" Target="https://lcsc.com/product-detail/Multilayer-Ceramic-Capacitors-MLCC-SMD-SMT_Murata-Electronics-GRM31CR61E476ME44L_C403725.html" TargetMode="External"/><Relationship Id="rId16" Type="http://schemas.openxmlformats.org/officeDocument/2006/relationships/hyperlink" Target="https://lcsc.com/product-detail/Multilayer-Ceramic-Capacitors-MLCC-SMD-SMT_YAGEO-CC1206KKX7R9BB224_C107186.html" TargetMode="External"/><Relationship Id="rId29" Type="http://schemas.openxmlformats.org/officeDocument/2006/relationships/hyperlink" Target="https://lcsc.com/product-detail/Chip-Resistor-Surface-Mount_10KR-103-5_C60489.html" TargetMode="External"/><Relationship Id="rId11" Type="http://schemas.openxmlformats.org/officeDocument/2006/relationships/hyperlink" Target="https://lcsc.com/product-detail/Chip-Resistor-Surface-Mount_0R-0R0-1_C106231.html" TargetMode="External"/><Relationship Id="rId24" Type="http://schemas.openxmlformats.org/officeDocument/2006/relationships/hyperlink" Target="https://lcsc.com/product-detail/Chip-Resistor-Surface-Mount_UNI-ROYAL-Uniroyal-Elec-0402WGF3013TCE_C25775.html" TargetMode="External"/><Relationship Id="rId32" Type="http://schemas.openxmlformats.org/officeDocument/2006/relationships/hyperlink" Target="https://lcsc.com/product-detail/USB-ICs_ON-Semiconductor-ON-FSUSB42UMX_C11145.html" TargetMode="External"/><Relationship Id="rId37" Type="http://schemas.openxmlformats.org/officeDocument/2006/relationships/hyperlink" Target="https://lcsc.com/product-detail/Chip-Resistor-Surface-Mount_YAGEO-AF0402JR-071ML_C144054.html" TargetMode="External"/><Relationship Id="rId40" Type="http://schemas.openxmlformats.org/officeDocument/2006/relationships/hyperlink" Target="https://lcsc.com/product-detail/Aluminum-Electrolytic-Capacitors-SMD_PANASONIC-EEEFK1E100R_C178538.html" TargetMode="External"/><Relationship Id="rId45" Type="http://schemas.openxmlformats.org/officeDocument/2006/relationships/hyperlink" Target="https://pl.aliexpress.com/item/32989034569.html?spm=a2g0o.productlist.0.0.1869c1a38l0mzB&amp;algo_pvid=aeec6dff-7f07-44af-a72f-51485c99c7d6&amp;algo_expid=aeec6dff-7f07-44af-a72f-51485c99c7d6-3&amp;btsid=0bb0623a16227095389538431efb24&amp;ws_ab_test=searchweb0_0,searchwe" TargetMode="External"/><Relationship Id="rId53" Type="http://schemas.openxmlformats.org/officeDocument/2006/relationships/hyperlink" Target="https://lcsc.com/product-detail/Others_TDK-C2012X5R1V106MT0J0E_C342723.html" TargetMode="External"/><Relationship Id="rId5" Type="http://schemas.openxmlformats.org/officeDocument/2006/relationships/hyperlink" Target="https://lcsc.com/product-detail/USB-Connectors_Amphenol-ICC-10118192-0001LF_C132564.html" TargetMode="External"/><Relationship Id="rId10" Type="http://schemas.openxmlformats.org/officeDocument/2006/relationships/hyperlink" Target="https://lcsc.com/product-detail/Chip-Resistor-Surface-Mount_1-8KR-1801-1_C159960.html" TargetMode="External"/><Relationship Id="rId19" Type="http://schemas.openxmlformats.org/officeDocument/2006/relationships/hyperlink" Target="https://lcsc.com/product-detail/Light-Emitting-Diodes-LED_TOGIALED-TJ-S1005CL4T5ALC2G-A5_C917188.html" TargetMode="External"/><Relationship Id="rId31" Type="http://schemas.openxmlformats.org/officeDocument/2006/relationships/hyperlink" Target="https://lcsc.com/product-detail/Dropout-Regulators-LDO_ON-Semiconductor-ON-NCP114BMX180TCG_C457759.html" TargetMode="External"/><Relationship Id="rId44" Type="http://schemas.openxmlformats.org/officeDocument/2006/relationships/hyperlink" Target="https://pl.aliexpress.com/item/4001193000381.html?spm=a2g0o.productlist.0.0.36781109QNyITh&amp;algo_pvid=03ac3ed0-edfe-4925-bd6d-e774082901ff&amp;algo_expid=03ac3ed0-edfe-4925-bd6d-e774082901ff-4&amp;btsid=0bb0622a16227089387861270eb744&amp;ws_ab_test=searchweb0_0,search" TargetMode="External"/><Relationship Id="rId52" Type="http://schemas.openxmlformats.org/officeDocument/2006/relationships/hyperlink" Target="https://french.alibaba.com/product-detail/bom-electronic-components-voltage-regulators-ic-automotive-36-v-4-a-synchronous-lm60440aqrpkrq1-1600215507702.html?spm=a2700.galleryofferlist.normal_offer.d_title.1fe51ea2t9Qz8E" TargetMode="External"/><Relationship Id="rId4" Type="http://schemas.openxmlformats.org/officeDocument/2006/relationships/hyperlink" Target="https://lcsc.com/product-detail/Card-Edge-Connectors_TE-Connectivity-1565917-4_C279171.html" TargetMode="External"/><Relationship Id="rId9" Type="http://schemas.openxmlformats.org/officeDocument/2006/relationships/hyperlink" Target="https://lcsc.com/product-detail/Chip-Resistor-Surface-Mount_PANASONIC-ERJPA2F4702X_C427250.html" TargetMode="External"/><Relationship Id="rId14" Type="http://schemas.openxmlformats.org/officeDocument/2006/relationships/hyperlink" Target="https://lcsc.com/product-detail/Chip-Resistor-Surface-Mount_PANASONIC-ERJ2RKF1502X_C413097.html" TargetMode="External"/><Relationship Id="rId22" Type="http://schemas.openxmlformats.org/officeDocument/2006/relationships/hyperlink" Target="https://lcsc.com/product-detail/MOSFET_Diodes-Incorporated-DMG1012T-7_C20512.html" TargetMode="External"/><Relationship Id="rId27" Type="http://schemas.openxmlformats.org/officeDocument/2006/relationships/hyperlink" Target="https://lcsc.com/product-detail/Chip-Resistor-Surface-Mount_UNI-ROYAL-Uniroyal-Elec-0402WGF4533TCE_C27009.html" TargetMode="External"/><Relationship Id="rId30" Type="http://schemas.openxmlformats.org/officeDocument/2006/relationships/hyperlink" Target="https://lcsc.com/product-detail/Dropout-Regulators-LDO_Microchip-Tech-MIC29300-3-3WU-TR_C481370.html" TargetMode="External"/><Relationship Id="rId35" Type="http://schemas.openxmlformats.org/officeDocument/2006/relationships/hyperlink" Target="https://lcsc.com/product-detail/Schottky-Barrier-Diodes-SBD_Slkor-SLKORMICRO-Elec-SS34_C408258.html" TargetMode="External"/><Relationship Id="rId43" Type="http://schemas.openxmlformats.org/officeDocument/2006/relationships/hyperlink" Target="https://pl.aliexpress.com/item/32831783732.html?spm=a2g0o.productlist.0.0.73fa134dR631vM&amp;algo_pvid=ce159c88-3d64-484d-b337-4c573bb93b8e&amp;algo_expid=ce159c88-3d64-484d-b337-4c573bb93b8e-6&amp;btsid=0bb0623a16227086616891764efa72&amp;ws_ab_test=searchweb0_0,searchwe" TargetMode="External"/><Relationship Id="rId48" Type="http://schemas.openxmlformats.org/officeDocument/2006/relationships/hyperlink" Target="https://lcsc.com/product-detail/Analog-To-Digital-Converters-ADCs_Texas-Instruments-ADS1115IDGSR_C37593.html" TargetMode="External"/><Relationship Id="rId56" Type="http://schemas.openxmlformats.org/officeDocument/2006/relationships/hyperlink" Target="https://www.chipmall.com/product_detail/TDK/Fixed-Inductors/SLF10145T-100M2R5-PF_584129.html" TargetMode="External"/><Relationship Id="rId8" Type="http://schemas.openxmlformats.org/officeDocument/2006/relationships/hyperlink" Target="https://lcsc.com/product-detail/USB-Connectors_Jing-Extension-of-the-Electronic-Co-USB-A-F-900-Outside-the-buckle-straight-foot-Not-high-temperature_C2346.html" TargetMode="External"/><Relationship Id="rId51" Type="http://schemas.openxmlformats.org/officeDocument/2006/relationships/hyperlink" Target="https://www.aliexpress.com/item/1005001817764284.html" TargetMode="External"/><Relationship Id="rId3" Type="http://schemas.openxmlformats.org/officeDocument/2006/relationships/hyperlink" Target="https://lcsc.com/product-detail/FFC-FPC-Connectors_HRS-Hirose-HRS-TF31-40S-0-5SH-800_C596725.html" TargetMode="External"/><Relationship Id="rId12" Type="http://schemas.openxmlformats.org/officeDocument/2006/relationships/hyperlink" Target="https://lcsc.com/product-detail/Chip-Resistor-Surface-Mount_PANASONIC-ERJPA2F4700X_C427238.html" TargetMode="External"/><Relationship Id="rId17" Type="http://schemas.openxmlformats.org/officeDocument/2006/relationships/hyperlink" Target="https://lcsc.com/product-detail/Multilayer-Ceramic-Capacitors-MLCC-SMD-SMT_TDK-C3216X5R1E226KTJ00N_C338055.html" TargetMode="External"/><Relationship Id="rId25" Type="http://schemas.openxmlformats.org/officeDocument/2006/relationships/hyperlink" Target="https://lcsc.com/product-detail/Chip-Resistor-Surface-Mount_Ever-Ohms-Tech-CR1206FR050P05R_C149662.html" TargetMode="External"/><Relationship Id="rId33" Type="http://schemas.openxmlformats.org/officeDocument/2006/relationships/hyperlink" Target="https://lcsc.com/product-detail/MOSFET_Infineon-Technologies-IRF7319TRPBF_C2760082.html" TargetMode="External"/><Relationship Id="rId38" Type="http://schemas.openxmlformats.org/officeDocument/2006/relationships/hyperlink" Target="https://lcsc.com/product-detail/Pin-Header-Female-Header_PINREX-210-91-03GB01_C390679.html" TargetMode="External"/><Relationship Id="rId46" Type="http://schemas.openxmlformats.org/officeDocument/2006/relationships/hyperlink" Target="https://lcsc.com/product-detail/MOSFETs_Diodes-Incorporated_BSS138-7-F_Diodes-Incorporated-BSS138-7-F_C40912.html" TargetMode="External"/><Relationship Id="rId20" Type="http://schemas.openxmlformats.org/officeDocument/2006/relationships/hyperlink" Target="https://lcsc.com/product-detail/Diodes-General-Purpose_DIODES_S1A-13-F_S1A-13-F_C150735.html" TargetMode="External"/><Relationship Id="rId41" Type="http://schemas.openxmlformats.org/officeDocument/2006/relationships/hyperlink" Target="https://lcsc.com/product-detail/Aluminum-Electrolytic-Capacitors-SMD_PANASONIC-EEEFT1E471GP_C193277.html" TargetMode="External"/><Relationship Id="rId54" Type="http://schemas.openxmlformats.org/officeDocument/2006/relationships/hyperlink" Target="https://lcsc.com/product-detail/USB-Connectors_SOFNG-MC-318_C183608.html" TargetMode="External"/><Relationship Id="rId1" Type="http://schemas.openxmlformats.org/officeDocument/2006/relationships/hyperlink" Target="https://lcsc.com/product-detail/Multilayer-Ceramic-Capacitors-MLCC-SMD-SMT_FH-Guangdong-Fenghua-Advanced-Tech-0402F104M500NT_C1581.html" TargetMode="External"/><Relationship Id="rId6" Type="http://schemas.openxmlformats.org/officeDocument/2006/relationships/hyperlink" Target="https://lcsc.com/product-detail/Card-Edge-Connectors_MOLEX-679100002_C192736.html" TargetMode="External"/><Relationship Id="rId15" Type="http://schemas.openxmlformats.org/officeDocument/2006/relationships/hyperlink" Target="https://lcsc.com/product-detail/Multilayer-Ceramic-Capacitors-MLCC-SMD-SMT_Murata-Electronics-GRM31CR71H475KA12L_C77096.html" TargetMode="External"/><Relationship Id="rId23" Type="http://schemas.openxmlformats.org/officeDocument/2006/relationships/hyperlink" Target="https://lcsc.com/product-detail/Chip-Resistor-Surface-Mount_RALEC-RTT022492FTH_C102925.html" TargetMode="External"/><Relationship Id="rId28" Type="http://schemas.openxmlformats.org/officeDocument/2006/relationships/hyperlink" Target="https://lcsc.com/product-detail/Chip-Resistor-Surface-Mount_UNI-ROYAL-Uniroyal-Elec-0402WGJ0512TCE_C25941.html" TargetMode="External"/><Relationship Id="rId36" Type="http://schemas.openxmlformats.org/officeDocument/2006/relationships/hyperlink" Target="https://lcsc.com/product-detail/Chip-Resistor-Surface-Mount_RALEC-RTT032214FTP_C166858.html" TargetMode="External"/><Relationship Id="rId49" Type="http://schemas.openxmlformats.org/officeDocument/2006/relationships/hyperlink" Target="https://lcsc.com/brand-detail/1172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6"/>
  <sheetViews>
    <sheetView tabSelected="1" zoomScale="98" zoomScaleNormal="98" workbookViewId="0">
      <selection activeCell="C66" sqref="C66"/>
    </sheetView>
  </sheetViews>
  <sheetFormatPr defaultRowHeight="14.4" x14ac:dyDescent="0.3"/>
  <cols>
    <col min="1" max="1" width="6.109375" style="84" bestFit="1" customWidth="1"/>
    <col min="2" max="2" width="14.44140625" customWidth="1"/>
    <col min="3" max="3" width="47.5546875" customWidth="1"/>
    <col min="4" max="4" width="41" bestFit="1" customWidth="1"/>
    <col min="5" max="5" width="21" bestFit="1" customWidth="1"/>
    <col min="6" max="6" width="29" bestFit="1" customWidth="1"/>
    <col min="7" max="7" width="19.109375" bestFit="1" customWidth="1"/>
    <col min="8" max="8" width="14.44140625" customWidth="1"/>
    <col min="9" max="9" width="21.5546875" bestFit="1" customWidth="1"/>
    <col min="10" max="10" width="6.109375" bestFit="1" customWidth="1"/>
    <col min="11" max="11" width="11.5546875" bestFit="1" customWidth="1"/>
    <col min="12" max="12" width="21.88671875" bestFit="1" customWidth="1"/>
    <col min="13" max="13" width="29.21875" bestFit="1" customWidth="1"/>
    <col min="14" max="14" width="10.33203125" bestFit="1" customWidth="1"/>
    <col min="15" max="15" width="12.6640625" bestFit="1" customWidth="1"/>
    <col min="16" max="16" width="13.44140625" bestFit="1" customWidth="1"/>
    <col min="17" max="17" width="49.33203125" bestFit="1" customWidth="1"/>
  </cols>
  <sheetData>
    <row r="1" spans="1:19" ht="16.2" thickBot="1" x14ac:dyDescent="0.35">
      <c r="A1" s="183" t="s">
        <v>374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</row>
    <row r="2" spans="1:19" ht="16.2" thickBot="1" x14ac:dyDescent="0.35">
      <c r="A2" s="88" t="s">
        <v>0</v>
      </c>
      <c r="B2" s="114" t="s">
        <v>1</v>
      </c>
      <c r="C2" s="115" t="s">
        <v>2</v>
      </c>
      <c r="D2" s="115" t="s">
        <v>3</v>
      </c>
      <c r="E2" s="115" t="s">
        <v>4</v>
      </c>
      <c r="F2" s="115" t="s">
        <v>5</v>
      </c>
      <c r="G2" s="115" t="s">
        <v>6</v>
      </c>
      <c r="H2" s="115" t="s">
        <v>7</v>
      </c>
      <c r="I2" s="115" t="s">
        <v>8</v>
      </c>
      <c r="J2" s="115" t="s">
        <v>9</v>
      </c>
      <c r="K2" s="115" t="s">
        <v>10</v>
      </c>
      <c r="L2" s="115" t="s">
        <v>11</v>
      </c>
      <c r="M2" s="115" t="s">
        <v>372</v>
      </c>
      <c r="N2" s="116" t="s">
        <v>343</v>
      </c>
      <c r="O2" s="112" t="s">
        <v>12</v>
      </c>
      <c r="P2" s="112" t="s">
        <v>13</v>
      </c>
      <c r="Q2" s="115" t="s">
        <v>14</v>
      </c>
    </row>
    <row r="3" spans="1:19" ht="15" thickBot="1" x14ac:dyDescent="0.35">
      <c r="A3" s="113">
        <v>1</v>
      </c>
      <c r="B3" s="195" t="s">
        <v>15</v>
      </c>
      <c r="C3" s="117" t="s">
        <v>16</v>
      </c>
      <c r="D3" s="18" t="s">
        <v>17</v>
      </c>
      <c r="E3" s="12" t="s">
        <v>18</v>
      </c>
      <c r="F3" s="18" t="s">
        <v>19</v>
      </c>
      <c r="G3" s="18" t="s">
        <v>20</v>
      </c>
      <c r="H3" s="154" t="s">
        <v>21</v>
      </c>
      <c r="I3" s="171" t="s">
        <v>371</v>
      </c>
      <c r="J3" s="12" t="s">
        <v>22</v>
      </c>
      <c r="K3" s="14">
        <v>100</v>
      </c>
      <c r="L3" s="13">
        <v>6</v>
      </c>
      <c r="M3" s="204">
        <f>L3*1.1*1</f>
        <v>6.6000000000000005</v>
      </c>
      <c r="N3" s="15" t="s">
        <v>23</v>
      </c>
      <c r="O3" s="127">
        <v>1.9E-3</v>
      </c>
      <c r="P3" s="16">
        <f>O3*K3</f>
        <v>0.19</v>
      </c>
      <c r="Q3" s="14"/>
      <c r="R3" s="9"/>
      <c r="S3" s="9"/>
    </row>
    <row r="4" spans="1:19" ht="15" thickBot="1" x14ac:dyDescent="0.35">
      <c r="A4" s="113">
        <v>2</v>
      </c>
      <c r="B4" s="196"/>
      <c r="C4" s="117" t="s">
        <v>24</v>
      </c>
      <c r="D4" s="11" t="s">
        <v>25</v>
      </c>
      <c r="E4" s="12" t="s">
        <v>26</v>
      </c>
      <c r="F4" s="179" t="s">
        <v>27</v>
      </c>
      <c r="G4" s="18" t="s">
        <v>20</v>
      </c>
      <c r="H4" s="154" t="s">
        <v>28</v>
      </c>
      <c r="I4" s="154" t="s">
        <v>29</v>
      </c>
      <c r="J4" s="12" t="s">
        <v>30</v>
      </c>
      <c r="K4" s="14">
        <v>30</v>
      </c>
      <c r="L4" s="13">
        <v>6</v>
      </c>
      <c r="M4" s="204">
        <f>L4*1.1*1</f>
        <v>6.6000000000000005</v>
      </c>
      <c r="N4" s="15" t="s">
        <v>23</v>
      </c>
      <c r="O4" s="127">
        <v>0.4743</v>
      </c>
      <c r="P4" s="16">
        <f>O4*K4</f>
        <v>14.228999999999999</v>
      </c>
      <c r="Q4" s="14"/>
      <c r="R4" s="9"/>
      <c r="S4" s="9"/>
    </row>
    <row r="5" spans="1:19" ht="15" thickBot="1" x14ac:dyDescent="0.35">
      <c r="A5" s="113">
        <v>3</v>
      </c>
      <c r="B5" s="196"/>
      <c r="C5" s="117" t="s">
        <v>31</v>
      </c>
      <c r="D5" s="18" t="s">
        <v>32</v>
      </c>
      <c r="E5" s="12" t="s">
        <v>26</v>
      </c>
      <c r="F5" s="179" t="s">
        <v>33</v>
      </c>
      <c r="G5" s="18" t="s">
        <v>20</v>
      </c>
      <c r="H5" s="154" t="s">
        <v>34</v>
      </c>
      <c r="I5" s="155" t="s">
        <v>35</v>
      </c>
      <c r="J5" s="12" t="s">
        <v>36</v>
      </c>
      <c r="K5" s="14">
        <v>30</v>
      </c>
      <c r="L5" s="13">
        <v>5</v>
      </c>
      <c r="M5" s="204">
        <f t="shared" ref="M5:M61" si="0">L5*1.1*1</f>
        <v>5.5</v>
      </c>
      <c r="N5" s="15" t="s">
        <v>23</v>
      </c>
      <c r="O5" s="127">
        <v>0.10920000000000001</v>
      </c>
      <c r="P5" s="16">
        <f t="shared" ref="P5:P61" si="1">O5*K5</f>
        <v>3.2760000000000002</v>
      </c>
      <c r="Q5" s="14"/>
      <c r="R5" s="9"/>
      <c r="S5" s="9"/>
    </row>
    <row r="6" spans="1:19" ht="15" thickBot="1" x14ac:dyDescent="0.35">
      <c r="A6" s="113">
        <v>4</v>
      </c>
      <c r="B6" s="196"/>
      <c r="C6" s="117" t="s">
        <v>37</v>
      </c>
      <c r="D6" s="18" t="s">
        <v>38</v>
      </c>
      <c r="E6" s="12" t="s">
        <v>26</v>
      </c>
      <c r="F6" s="179" t="s">
        <v>39</v>
      </c>
      <c r="G6" s="18" t="s">
        <v>40</v>
      </c>
      <c r="H6" s="154" t="s">
        <v>41</v>
      </c>
      <c r="I6" s="155" t="s">
        <v>42</v>
      </c>
      <c r="J6" s="12" t="s">
        <v>43</v>
      </c>
      <c r="K6" s="14">
        <v>20</v>
      </c>
      <c r="L6" s="13">
        <v>2</v>
      </c>
      <c r="M6" s="204">
        <f t="shared" si="0"/>
        <v>2.2000000000000002</v>
      </c>
      <c r="N6" s="20" t="s">
        <v>23</v>
      </c>
      <c r="O6" s="205">
        <v>2.8199999999999999E-2</v>
      </c>
      <c r="P6" s="16">
        <f t="shared" si="1"/>
        <v>0.56399999999999995</v>
      </c>
      <c r="Q6" s="14"/>
      <c r="R6" s="9"/>
      <c r="S6" s="9"/>
    </row>
    <row r="7" spans="1:19" ht="15" thickBot="1" x14ac:dyDescent="0.35">
      <c r="A7" s="113">
        <v>5</v>
      </c>
      <c r="B7" s="196"/>
      <c r="C7" s="153" t="s">
        <v>355</v>
      </c>
      <c r="D7" s="11" t="s">
        <v>44</v>
      </c>
      <c r="E7" s="18" t="s">
        <v>18</v>
      </c>
      <c r="F7" s="179" t="s">
        <v>45</v>
      </c>
      <c r="G7" s="18" t="s">
        <v>46</v>
      </c>
      <c r="H7" s="154" t="s">
        <v>367</v>
      </c>
      <c r="I7" s="155" t="s">
        <v>365</v>
      </c>
      <c r="J7" s="18" t="s">
        <v>47</v>
      </c>
      <c r="K7" s="156">
        <v>50</v>
      </c>
      <c r="L7" s="90">
        <v>7</v>
      </c>
      <c r="M7" s="204">
        <f t="shared" si="0"/>
        <v>7.7000000000000011</v>
      </c>
      <c r="N7" s="20" t="s">
        <v>23</v>
      </c>
      <c r="O7" s="157">
        <v>1.54E-2</v>
      </c>
      <c r="P7" s="16">
        <f t="shared" si="1"/>
        <v>0.77</v>
      </c>
      <c r="Q7" s="206" t="s">
        <v>366</v>
      </c>
      <c r="R7" s="9"/>
      <c r="S7" s="9"/>
    </row>
    <row r="8" spans="1:19" ht="15" thickBot="1" x14ac:dyDescent="0.35">
      <c r="A8" s="113">
        <v>6</v>
      </c>
      <c r="B8" s="196"/>
      <c r="C8" s="117" t="s">
        <v>48</v>
      </c>
      <c r="D8" s="18" t="s">
        <v>49</v>
      </c>
      <c r="E8" s="12" t="s">
        <v>26</v>
      </c>
      <c r="F8" s="179" t="s">
        <v>50</v>
      </c>
      <c r="G8" s="18" t="s">
        <v>20</v>
      </c>
      <c r="H8" s="154" t="s">
        <v>51</v>
      </c>
      <c r="I8" s="155" t="s">
        <v>52</v>
      </c>
      <c r="J8" s="12" t="s">
        <v>53</v>
      </c>
      <c r="K8" s="14">
        <v>5</v>
      </c>
      <c r="L8" s="13">
        <v>1</v>
      </c>
      <c r="M8" s="204">
        <f t="shared" si="0"/>
        <v>1.1000000000000001</v>
      </c>
      <c r="N8" s="20" t="s">
        <v>23</v>
      </c>
      <c r="O8" s="127">
        <v>0.2591</v>
      </c>
      <c r="P8" s="16">
        <f t="shared" si="1"/>
        <v>1.2955000000000001</v>
      </c>
      <c r="Q8" s="14"/>
      <c r="R8" s="9"/>
      <c r="S8" s="9"/>
    </row>
    <row r="9" spans="1:19" ht="15" thickBot="1" x14ac:dyDescent="0.35">
      <c r="A9" s="113">
        <v>7</v>
      </c>
      <c r="B9" s="196"/>
      <c r="C9" s="117" t="s">
        <v>54</v>
      </c>
      <c r="D9" s="18" t="s">
        <v>55</v>
      </c>
      <c r="E9" s="12" t="s">
        <v>56</v>
      </c>
      <c r="F9" s="179" t="s">
        <v>57</v>
      </c>
      <c r="G9" s="18" t="s">
        <v>58</v>
      </c>
      <c r="H9" s="154" t="s">
        <v>359</v>
      </c>
      <c r="I9" s="154" t="s">
        <v>358</v>
      </c>
      <c r="J9" s="12" t="s">
        <v>59</v>
      </c>
      <c r="K9" s="14">
        <v>10</v>
      </c>
      <c r="L9" s="13">
        <v>2</v>
      </c>
      <c r="M9" s="204">
        <f t="shared" si="0"/>
        <v>2.2000000000000002</v>
      </c>
      <c r="N9" s="140" t="s">
        <v>23</v>
      </c>
      <c r="O9" s="128">
        <v>0.1777</v>
      </c>
      <c r="P9" s="16">
        <f t="shared" si="1"/>
        <v>1.7769999999999999</v>
      </c>
      <c r="Q9" s="14"/>
      <c r="R9" s="9"/>
      <c r="S9" s="9"/>
    </row>
    <row r="10" spans="1:19" ht="15" thickBot="1" x14ac:dyDescent="0.35">
      <c r="A10" s="113">
        <v>8</v>
      </c>
      <c r="B10" s="196"/>
      <c r="C10" s="150" t="s">
        <v>60</v>
      </c>
      <c r="D10" s="92" t="s">
        <v>61</v>
      </c>
      <c r="E10" s="41" t="s">
        <v>62</v>
      </c>
      <c r="F10" s="155" t="s">
        <v>65</v>
      </c>
      <c r="G10" s="18" t="s">
        <v>63</v>
      </c>
      <c r="H10" s="154" t="s">
        <v>64</v>
      </c>
      <c r="I10" s="178" t="s">
        <v>371</v>
      </c>
      <c r="J10" s="41" t="s">
        <v>66</v>
      </c>
      <c r="K10" s="51">
        <v>15</v>
      </c>
      <c r="L10" s="50">
        <v>3</v>
      </c>
      <c r="M10" s="204">
        <f t="shared" si="0"/>
        <v>3.3000000000000003</v>
      </c>
      <c r="N10" s="151" t="s">
        <v>23</v>
      </c>
      <c r="O10" s="132">
        <v>0.49769999999999998</v>
      </c>
      <c r="P10" s="16">
        <f t="shared" si="1"/>
        <v>7.4654999999999996</v>
      </c>
      <c r="Q10" s="207"/>
      <c r="R10" s="9"/>
      <c r="S10" s="9"/>
    </row>
    <row r="11" spans="1:19" ht="15" thickBot="1" x14ac:dyDescent="0.35">
      <c r="A11" s="113">
        <v>9</v>
      </c>
      <c r="B11" s="196"/>
      <c r="C11" s="150" t="s">
        <v>67</v>
      </c>
      <c r="D11" s="41" t="s">
        <v>68</v>
      </c>
      <c r="E11" s="41" t="s">
        <v>62</v>
      </c>
      <c r="F11" s="155" t="s">
        <v>70</v>
      </c>
      <c r="G11" s="18" t="s">
        <v>63</v>
      </c>
      <c r="H11" s="154" t="s">
        <v>69</v>
      </c>
      <c r="I11" s="178" t="s">
        <v>371</v>
      </c>
      <c r="J11" s="41" t="s">
        <v>59</v>
      </c>
      <c r="K11" s="51">
        <v>5</v>
      </c>
      <c r="L11" s="50">
        <v>1</v>
      </c>
      <c r="M11" s="204">
        <f t="shared" si="0"/>
        <v>1.1000000000000001</v>
      </c>
      <c r="N11" s="151" t="s">
        <v>23</v>
      </c>
      <c r="O11" s="132">
        <v>8.1000000000000003E-2</v>
      </c>
      <c r="P11" s="16">
        <f t="shared" si="1"/>
        <v>0.40500000000000003</v>
      </c>
      <c r="Q11" s="207"/>
      <c r="R11" s="9"/>
      <c r="S11" s="9"/>
    </row>
    <row r="12" spans="1:19" ht="15" thickBot="1" x14ac:dyDescent="0.35">
      <c r="A12" s="113">
        <v>10</v>
      </c>
      <c r="B12" s="197"/>
      <c r="C12" s="119" t="s">
        <v>71</v>
      </c>
      <c r="D12" s="23" t="s">
        <v>72</v>
      </c>
      <c r="E12" s="24" t="s">
        <v>18</v>
      </c>
      <c r="F12" s="163" t="s">
        <v>73</v>
      </c>
      <c r="G12" s="23" t="s">
        <v>58</v>
      </c>
      <c r="H12" s="236" t="s">
        <v>74</v>
      </c>
      <c r="I12" s="163" t="s">
        <v>75</v>
      </c>
      <c r="J12" s="24" t="s">
        <v>76</v>
      </c>
      <c r="K12" s="27">
        <v>100</v>
      </c>
      <c r="L12" s="25">
        <v>3</v>
      </c>
      <c r="M12" s="237">
        <f t="shared" si="0"/>
        <v>3.3000000000000003</v>
      </c>
      <c r="N12" s="28" t="s">
        <v>23</v>
      </c>
      <c r="O12" s="131">
        <v>3.0999999999999999E-3</v>
      </c>
      <c r="P12" s="29">
        <f t="shared" si="1"/>
        <v>0.31</v>
      </c>
      <c r="Q12" s="27"/>
      <c r="R12" s="9"/>
      <c r="S12" s="9"/>
    </row>
    <row r="13" spans="1:19" ht="15" thickBot="1" x14ac:dyDescent="0.35">
      <c r="A13" s="113">
        <v>11</v>
      </c>
      <c r="B13" s="198" t="s">
        <v>77</v>
      </c>
      <c r="C13" s="226" t="s">
        <v>78</v>
      </c>
      <c r="D13" s="227" t="s">
        <v>79</v>
      </c>
      <c r="E13" s="61" t="s">
        <v>80</v>
      </c>
      <c r="F13" s="228" t="s">
        <v>81</v>
      </c>
      <c r="G13" s="228" t="s">
        <v>82</v>
      </c>
      <c r="H13" s="229" t="s">
        <v>83</v>
      </c>
      <c r="I13" s="230" t="s">
        <v>84</v>
      </c>
      <c r="J13" s="61" t="s">
        <v>85</v>
      </c>
      <c r="K13" s="63">
        <v>20</v>
      </c>
      <c r="L13" s="64">
        <v>4</v>
      </c>
      <c r="M13" s="231">
        <f t="shared" si="0"/>
        <v>4.4000000000000004</v>
      </c>
      <c r="N13" s="232" t="s">
        <v>23</v>
      </c>
      <c r="O13" s="233">
        <v>3.0800000000000001E-2</v>
      </c>
      <c r="P13" s="234">
        <f t="shared" si="1"/>
        <v>0.61599999999999999</v>
      </c>
      <c r="Q13" s="235"/>
      <c r="R13" s="9"/>
      <c r="S13" s="9"/>
    </row>
    <row r="14" spans="1:19" ht="15" thickBot="1" x14ac:dyDescent="0.35">
      <c r="A14" s="113">
        <v>12</v>
      </c>
      <c r="B14" s="199"/>
      <c r="C14" s="117" t="s">
        <v>86</v>
      </c>
      <c r="D14" s="12" t="s">
        <v>87</v>
      </c>
      <c r="E14" s="12" t="s">
        <v>88</v>
      </c>
      <c r="F14" s="18" t="s">
        <v>89</v>
      </c>
      <c r="G14" s="18" t="s">
        <v>90</v>
      </c>
      <c r="H14" s="154" t="s">
        <v>91</v>
      </c>
      <c r="I14" s="155" t="s">
        <v>92</v>
      </c>
      <c r="J14" s="12" t="s">
        <v>85</v>
      </c>
      <c r="K14" s="14">
        <v>10</v>
      </c>
      <c r="L14" s="13">
        <v>2</v>
      </c>
      <c r="M14" s="204">
        <f t="shared" si="0"/>
        <v>2.2000000000000002</v>
      </c>
      <c r="N14" s="20" t="s">
        <v>23</v>
      </c>
      <c r="O14" s="127">
        <v>6.2199999999999998E-2</v>
      </c>
      <c r="P14" s="16">
        <f t="shared" si="1"/>
        <v>0.622</v>
      </c>
      <c r="Q14" s="14"/>
      <c r="R14" s="9"/>
      <c r="S14" s="9"/>
    </row>
    <row r="15" spans="1:19" ht="15" thickBot="1" x14ac:dyDescent="0.35">
      <c r="A15" s="113">
        <v>13</v>
      </c>
      <c r="B15" s="200"/>
      <c r="C15" s="119" t="s">
        <v>93</v>
      </c>
      <c r="D15" s="24" t="s">
        <v>94</v>
      </c>
      <c r="E15" s="24" t="s">
        <v>95</v>
      </c>
      <c r="F15" s="23" t="s">
        <v>96</v>
      </c>
      <c r="G15" s="23" t="s">
        <v>97</v>
      </c>
      <c r="H15" s="162" t="s">
        <v>98</v>
      </c>
      <c r="I15" s="163" t="s">
        <v>85</v>
      </c>
      <c r="J15" s="24" t="s">
        <v>85</v>
      </c>
      <c r="K15" s="27">
        <v>10</v>
      </c>
      <c r="L15" s="25">
        <v>1</v>
      </c>
      <c r="M15" s="237">
        <f t="shared" si="0"/>
        <v>1.1000000000000001</v>
      </c>
      <c r="N15" s="28" t="s">
        <v>23</v>
      </c>
      <c r="O15" s="131">
        <v>4.1799999999999997E-2</v>
      </c>
      <c r="P15" s="29">
        <f t="shared" si="1"/>
        <v>0.41799999999999998</v>
      </c>
      <c r="Q15" s="27"/>
      <c r="R15" s="9"/>
      <c r="S15" s="9"/>
    </row>
    <row r="16" spans="1:19" ht="15" thickBot="1" x14ac:dyDescent="0.35">
      <c r="A16" s="113">
        <v>14</v>
      </c>
      <c r="B16" s="198" t="s">
        <v>99</v>
      </c>
      <c r="C16" s="238" t="s">
        <v>100</v>
      </c>
      <c r="D16" s="239" t="s">
        <v>101</v>
      </c>
      <c r="E16" s="239" t="s">
        <v>62</v>
      </c>
      <c r="F16" s="227" t="s">
        <v>102</v>
      </c>
      <c r="G16" s="227" t="s">
        <v>103</v>
      </c>
      <c r="H16" s="240" t="s">
        <v>104</v>
      </c>
      <c r="I16" s="230" t="s">
        <v>105</v>
      </c>
      <c r="J16" s="239" t="s">
        <v>106</v>
      </c>
      <c r="K16" s="63">
        <v>5</v>
      </c>
      <c r="L16" s="241">
        <v>1</v>
      </c>
      <c r="M16" s="231">
        <f t="shared" si="0"/>
        <v>1.1000000000000001</v>
      </c>
      <c r="N16" s="232" t="s">
        <v>23</v>
      </c>
      <c r="O16" s="233">
        <v>0.3679</v>
      </c>
      <c r="P16" s="234">
        <f t="shared" si="1"/>
        <v>1.8395000000000001</v>
      </c>
      <c r="Q16" s="242"/>
      <c r="R16" s="9"/>
      <c r="S16" s="9"/>
    </row>
    <row r="17" spans="1:19" ht="15" thickBot="1" x14ac:dyDescent="0.35">
      <c r="A17" s="113">
        <v>15</v>
      </c>
      <c r="B17" s="200"/>
      <c r="C17" s="244" t="s">
        <v>107</v>
      </c>
      <c r="D17" s="40" t="s">
        <v>108</v>
      </c>
      <c r="E17" s="40" t="s">
        <v>62</v>
      </c>
      <c r="F17" s="40" t="s">
        <v>109</v>
      </c>
      <c r="G17" s="40" t="s">
        <v>20</v>
      </c>
      <c r="H17" s="23" t="s">
        <v>105</v>
      </c>
      <c r="I17" s="23" t="s">
        <v>290</v>
      </c>
      <c r="J17" s="40" t="s">
        <v>110</v>
      </c>
      <c r="K17" s="160">
        <v>75</v>
      </c>
      <c r="L17" s="98">
        <v>1</v>
      </c>
      <c r="M17" s="237">
        <f t="shared" si="0"/>
        <v>1.1000000000000001</v>
      </c>
      <c r="N17" s="28" t="s">
        <v>368</v>
      </c>
      <c r="O17" s="158">
        <v>0.20810999999999999</v>
      </c>
      <c r="P17" s="29">
        <f t="shared" si="1"/>
        <v>15.60825</v>
      </c>
      <c r="Q17" s="245"/>
      <c r="R17" s="9"/>
      <c r="S17" s="9"/>
    </row>
    <row r="18" spans="1:19" ht="15" thickBot="1" x14ac:dyDescent="0.35">
      <c r="A18" s="113">
        <v>16</v>
      </c>
      <c r="B18" s="198" t="s">
        <v>112</v>
      </c>
      <c r="C18" s="226" t="s">
        <v>113</v>
      </c>
      <c r="D18" s="227" t="s">
        <v>114</v>
      </c>
      <c r="E18" s="61" t="s">
        <v>115</v>
      </c>
      <c r="F18" s="228" t="s">
        <v>116</v>
      </c>
      <c r="G18" s="228" t="s">
        <v>97</v>
      </c>
      <c r="H18" s="240" t="s">
        <v>117</v>
      </c>
      <c r="I18" s="243"/>
      <c r="J18" s="61" t="s">
        <v>85</v>
      </c>
      <c r="K18" s="63">
        <v>15</v>
      </c>
      <c r="L18" s="64">
        <v>3</v>
      </c>
      <c r="M18" s="231">
        <f t="shared" si="0"/>
        <v>3.3000000000000003</v>
      </c>
      <c r="N18" s="232" t="s">
        <v>23</v>
      </c>
      <c r="O18" s="233">
        <v>0.13919999999999999</v>
      </c>
      <c r="P18" s="234">
        <f t="shared" si="1"/>
        <v>2.0880000000000001</v>
      </c>
      <c r="Q18" s="235"/>
      <c r="R18" s="9"/>
      <c r="S18" s="9"/>
    </row>
    <row r="19" spans="1:19" ht="15" thickBot="1" x14ac:dyDescent="0.35">
      <c r="A19" s="113">
        <v>17</v>
      </c>
      <c r="B19" s="200"/>
      <c r="C19" s="119" t="s">
        <v>118</v>
      </c>
      <c r="D19" s="40" t="s">
        <v>119</v>
      </c>
      <c r="E19" s="24" t="s">
        <v>120</v>
      </c>
      <c r="F19" s="23" t="s">
        <v>121</v>
      </c>
      <c r="G19" s="23" t="s">
        <v>122</v>
      </c>
      <c r="H19" s="160" t="s">
        <v>345</v>
      </c>
      <c r="I19" s="162" t="s">
        <v>344</v>
      </c>
      <c r="J19" s="24" t="s">
        <v>123</v>
      </c>
      <c r="K19" s="27">
        <v>10</v>
      </c>
      <c r="L19" s="25">
        <v>2</v>
      </c>
      <c r="M19" s="237">
        <f t="shared" si="0"/>
        <v>2.2000000000000002</v>
      </c>
      <c r="N19" s="28" t="s">
        <v>23</v>
      </c>
      <c r="O19" s="131">
        <v>9.3799999999999994E-2</v>
      </c>
      <c r="P19" s="29">
        <f t="shared" si="1"/>
        <v>0.93799999999999994</v>
      </c>
      <c r="Q19" s="27"/>
      <c r="R19" s="9"/>
      <c r="S19" s="9"/>
    </row>
    <row r="20" spans="1:19" ht="15" thickBot="1" x14ac:dyDescent="0.35">
      <c r="A20" s="113">
        <v>18</v>
      </c>
      <c r="B20" s="198" t="s">
        <v>124</v>
      </c>
      <c r="C20" s="226" t="s">
        <v>125</v>
      </c>
      <c r="D20" s="228" t="s">
        <v>126</v>
      </c>
      <c r="E20" s="61" t="s">
        <v>127</v>
      </c>
      <c r="F20" s="228" t="s">
        <v>128</v>
      </c>
      <c r="G20" s="228" t="s">
        <v>129</v>
      </c>
      <c r="H20" s="229" t="s">
        <v>130</v>
      </c>
      <c r="I20" s="240" t="s">
        <v>131</v>
      </c>
      <c r="J20" s="61" t="s">
        <v>132</v>
      </c>
      <c r="K20" s="63">
        <v>20</v>
      </c>
      <c r="L20" s="64">
        <v>3</v>
      </c>
      <c r="M20" s="231">
        <f t="shared" si="0"/>
        <v>3.3000000000000003</v>
      </c>
      <c r="N20" s="246" t="s">
        <v>23</v>
      </c>
      <c r="O20" s="233">
        <v>4.7899999999999998E-2</v>
      </c>
      <c r="P20" s="234">
        <f t="shared" si="1"/>
        <v>0.95799999999999996</v>
      </c>
      <c r="Q20" s="63"/>
      <c r="R20" s="9"/>
      <c r="S20" s="9"/>
    </row>
    <row r="21" spans="1:19" ht="15" thickBot="1" x14ac:dyDescent="0.35">
      <c r="A21" s="113">
        <v>19</v>
      </c>
      <c r="B21" s="199"/>
      <c r="C21" s="117" t="s">
        <v>133</v>
      </c>
      <c r="D21" s="18" t="s">
        <v>134</v>
      </c>
      <c r="E21" s="12" t="s">
        <v>127</v>
      </c>
      <c r="F21" s="18" t="s">
        <v>135</v>
      </c>
      <c r="G21" s="18" t="s">
        <v>129</v>
      </c>
      <c r="H21" s="154" t="s">
        <v>136</v>
      </c>
      <c r="I21" s="154" t="s">
        <v>137</v>
      </c>
      <c r="J21" s="12" t="s">
        <v>138</v>
      </c>
      <c r="K21" s="14">
        <v>50</v>
      </c>
      <c r="L21" s="13">
        <v>4</v>
      </c>
      <c r="M21" s="204">
        <f t="shared" si="0"/>
        <v>4.4000000000000004</v>
      </c>
      <c r="N21" s="15" t="s">
        <v>23</v>
      </c>
      <c r="O21" s="127">
        <v>4.4000000000000003E-3</v>
      </c>
      <c r="P21" s="16">
        <f t="shared" si="1"/>
        <v>0.22</v>
      </c>
      <c r="Q21" s="14" t="s">
        <v>349</v>
      </c>
      <c r="R21" s="9"/>
      <c r="S21" s="9"/>
    </row>
    <row r="22" spans="1:19" ht="15" thickBot="1" x14ac:dyDescent="0.35">
      <c r="A22" s="113">
        <v>20</v>
      </c>
      <c r="B22" s="199"/>
      <c r="C22" s="210" t="s">
        <v>139</v>
      </c>
      <c r="D22" s="18" t="s">
        <v>140</v>
      </c>
      <c r="E22" s="18" t="s">
        <v>127</v>
      </c>
      <c r="F22" s="18" t="s">
        <v>141</v>
      </c>
      <c r="G22" s="18" t="s">
        <v>129</v>
      </c>
      <c r="H22" s="154" t="s">
        <v>142</v>
      </c>
      <c r="I22" s="171" t="s">
        <v>143</v>
      </c>
      <c r="J22" s="18" t="s">
        <v>144</v>
      </c>
      <c r="K22" s="156">
        <v>100</v>
      </c>
      <c r="L22" s="90">
        <v>3</v>
      </c>
      <c r="M22" s="204">
        <f t="shared" si="0"/>
        <v>3.3000000000000003</v>
      </c>
      <c r="N22" s="211" t="s">
        <v>23</v>
      </c>
      <c r="O22" s="157">
        <v>1E-3</v>
      </c>
      <c r="P22" s="16">
        <f t="shared" si="1"/>
        <v>0.1</v>
      </c>
      <c r="Q22" s="156" t="s">
        <v>346</v>
      </c>
      <c r="R22" s="9"/>
      <c r="S22" s="9"/>
    </row>
    <row r="23" spans="1:19" ht="15" thickBot="1" x14ac:dyDescent="0.35">
      <c r="A23" s="113">
        <v>21</v>
      </c>
      <c r="B23" s="199"/>
      <c r="C23" s="117" t="s">
        <v>145</v>
      </c>
      <c r="D23" s="41" t="s">
        <v>146</v>
      </c>
      <c r="E23" s="12" t="s">
        <v>127</v>
      </c>
      <c r="F23" s="18" t="s">
        <v>147</v>
      </c>
      <c r="G23" s="18" t="s">
        <v>129</v>
      </c>
      <c r="H23" s="154" t="s">
        <v>148</v>
      </c>
      <c r="I23" s="18" t="s">
        <v>149</v>
      </c>
      <c r="J23" s="12" t="s">
        <v>150</v>
      </c>
      <c r="K23" s="14">
        <v>50</v>
      </c>
      <c r="L23" s="42">
        <v>1</v>
      </c>
      <c r="M23" s="204">
        <f t="shared" si="0"/>
        <v>1.1000000000000001</v>
      </c>
      <c r="N23" s="20" t="s">
        <v>23</v>
      </c>
      <c r="O23" s="127">
        <v>1.2999999999999999E-3</v>
      </c>
      <c r="P23" s="16">
        <f t="shared" si="1"/>
        <v>6.5000000000000002E-2</v>
      </c>
      <c r="Q23" s="14" t="s">
        <v>346</v>
      </c>
      <c r="R23" s="9"/>
      <c r="S23" s="9"/>
    </row>
    <row r="24" spans="1:19" ht="15" thickBot="1" x14ac:dyDescent="0.35">
      <c r="A24" s="113">
        <v>22</v>
      </c>
      <c r="B24" s="199"/>
      <c r="C24" s="117" t="s">
        <v>151</v>
      </c>
      <c r="D24" s="41" t="s">
        <v>152</v>
      </c>
      <c r="E24" s="12" t="s">
        <v>127</v>
      </c>
      <c r="F24" s="18" t="s">
        <v>153</v>
      </c>
      <c r="G24" s="18" t="s">
        <v>129</v>
      </c>
      <c r="H24" s="154" t="s">
        <v>154</v>
      </c>
      <c r="I24" s="18" t="s">
        <v>155</v>
      </c>
      <c r="J24" s="12" t="s">
        <v>156</v>
      </c>
      <c r="K24" s="12">
        <v>100</v>
      </c>
      <c r="L24" s="42">
        <v>1</v>
      </c>
      <c r="M24" s="204">
        <f t="shared" si="0"/>
        <v>1.1000000000000001</v>
      </c>
      <c r="N24" s="20" t="s">
        <v>23</v>
      </c>
      <c r="O24" s="127">
        <v>8.0000000000000004E-4</v>
      </c>
      <c r="P24" s="16">
        <f t="shared" si="1"/>
        <v>0.08</v>
      </c>
      <c r="Q24" s="14" t="s">
        <v>346</v>
      </c>
      <c r="R24" s="9"/>
      <c r="S24" s="9"/>
    </row>
    <row r="25" spans="1:19" ht="15" thickBot="1" x14ac:dyDescent="0.35">
      <c r="A25" s="113">
        <v>23</v>
      </c>
      <c r="B25" s="199"/>
      <c r="C25" s="212" t="s">
        <v>157</v>
      </c>
      <c r="D25" s="89" t="s">
        <v>158</v>
      </c>
      <c r="E25" s="89" t="s">
        <v>159</v>
      </c>
      <c r="F25" s="89" t="s">
        <v>160</v>
      </c>
      <c r="G25" s="89" t="s">
        <v>161</v>
      </c>
      <c r="H25" s="90" t="s">
        <v>162</v>
      </c>
      <c r="I25" s="89" t="s">
        <v>163</v>
      </c>
      <c r="J25" s="89" t="s">
        <v>164</v>
      </c>
      <c r="K25" s="89">
        <v>50</v>
      </c>
      <c r="L25" s="142">
        <v>1</v>
      </c>
      <c r="M25" s="204">
        <f t="shared" si="0"/>
        <v>1.1000000000000001</v>
      </c>
      <c r="N25" s="213" t="s">
        <v>23</v>
      </c>
      <c r="O25" s="129">
        <v>1.83E-2</v>
      </c>
      <c r="P25" s="16">
        <f t="shared" si="1"/>
        <v>0.91500000000000004</v>
      </c>
      <c r="Q25" s="97" t="s">
        <v>369</v>
      </c>
      <c r="R25" s="9"/>
      <c r="S25" s="9"/>
    </row>
    <row r="26" spans="1:19" ht="15" thickBot="1" x14ac:dyDescent="0.35">
      <c r="A26" s="113">
        <v>24</v>
      </c>
      <c r="B26" s="199"/>
      <c r="C26" s="117" t="s">
        <v>165</v>
      </c>
      <c r="D26" s="41" t="s">
        <v>166</v>
      </c>
      <c r="E26" s="12" t="s">
        <v>127</v>
      </c>
      <c r="F26" s="18" t="s">
        <v>167</v>
      </c>
      <c r="G26" s="18" t="s">
        <v>168</v>
      </c>
      <c r="H26" s="154" t="s">
        <v>169</v>
      </c>
      <c r="I26" s="18" t="s">
        <v>170</v>
      </c>
      <c r="J26" s="12" t="s">
        <v>171</v>
      </c>
      <c r="K26" s="12">
        <v>100</v>
      </c>
      <c r="L26" s="42">
        <v>1</v>
      </c>
      <c r="M26" s="204">
        <f t="shared" si="0"/>
        <v>1.1000000000000001</v>
      </c>
      <c r="N26" s="20" t="s">
        <v>23</v>
      </c>
      <c r="O26" s="127">
        <v>8.9999999999999998E-4</v>
      </c>
      <c r="P26" s="16">
        <f t="shared" si="1"/>
        <v>0.09</v>
      </c>
      <c r="Q26" s="14" t="s">
        <v>346</v>
      </c>
      <c r="R26" s="9"/>
      <c r="S26" s="9"/>
    </row>
    <row r="27" spans="1:19" ht="15" thickBot="1" x14ac:dyDescent="0.35">
      <c r="A27" s="113">
        <v>25</v>
      </c>
      <c r="B27" s="199"/>
      <c r="C27" s="117" t="s">
        <v>172</v>
      </c>
      <c r="D27" s="41" t="s">
        <v>173</v>
      </c>
      <c r="E27" s="12" t="s">
        <v>127</v>
      </c>
      <c r="F27" s="18" t="s">
        <v>174</v>
      </c>
      <c r="G27" s="18" t="s">
        <v>168</v>
      </c>
      <c r="H27" s="154" t="s">
        <v>175</v>
      </c>
      <c r="I27" s="18" t="s">
        <v>176</v>
      </c>
      <c r="J27" s="12" t="s">
        <v>177</v>
      </c>
      <c r="K27" s="12">
        <v>100</v>
      </c>
      <c r="L27" s="42">
        <v>1</v>
      </c>
      <c r="M27" s="204">
        <f t="shared" si="0"/>
        <v>1.1000000000000001</v>
      </c>
      <c r="N27" s="20" t="s">
        <v>23</v>
      </c>
      <c r="O27" s="127">
        <v>8.0000000000000004E-4</v>
      </c>
      <c r="P27" s="16">
        <f t="shared" si="1"/>
        <v>0.08</v>
      </c>
      <c r="Q27" s="14" t="s">
        <v>346</v>
      </c>
      <c r="R27" s="9"/>
      <c r="S27" s="9"/>
    </row>
    <row r="28" spans="1:19" ht="15" thickBot="1" x14ac:dyDescent="0.35">
      <c r="A28" s="113">
        <v>26</v>
      </c>
      <c r="B28" s="199"/>
      <c r="C28" s="117" t="s">
        <v>178</v>
      </c>
      <c r="D28" s="41" t="s">
        <v>179</v>
      </c>
      <c r="E28" s="12" t="s">
        <v>127</v>
      </c>
      <c r="F28" s="18" t="s">
        <v>180</v>
      </c>
      <c r="G28" s="18" t="s">
        <v>168</v>
      </c>
      <c r="H28" s="154" t="s">
        <v>181</v>
      </c>
      <c r="I28" s="18" t="s">
        <v>182</v>
      </c>
      <c r="J28" s="12" t="s">
        <v>183</v>
      </c>
      <c r="K28" s="12">
        <v>100</v>
      </c>
      <c r="L28" s="42">
        <v>4</v>
      </c>
      <c r="M28" s="204">
        <f t="shared" si="0"/>
        <v>4.4000000000000004</v>
      </c>
      <c r="N28" s="20" t="s">
        <v>23</v>
      </c>
      <c r="O28" s="127">
        <v>8.0000000000000004E-4</v>
      </c>
      <c r="P28" s="16">
        <f t="shared" si="1"/>
        <v>0.08</v>
      </c>
      <c r="Q28" s="14" t="s">
        <v>346</v>
      </c>
      <c r="R28" s="9"/>
      <c r="S28" s="9"/>
    </row>
    <row r="29" spans="1:19" ht="15" thickBot="1" x14ac:dyDescent="0.35">
      <c r="A29" s="113">
        <v>27</v>
      </c>
      <c r="B29" s="199"/>
      <c r="C29" s="214" t="s">
        <v>184</v>
      </c>
      <c r="D29" s="11" t="s">
        <v>185</v>
      </c>
      <c r="E29" s="12" t="s">
        <v>127</v>
      </c>
      <c r="F29" s="18" t="s">
        <v>186</v>
      </c>
      <c r="G29" s="18" t="s">
        <v>187</v>
      </c>
      <c r="H29" s="154" t="s">
        <v>188</v>
      </c>
      <c r="I29" s="18" t="s">
        <v>189</v>
      </c>
      <c r="J29" s="12" t="s">
        <v>190</v>
      </c>
      <c r="K29" s="12">
        <v>100</v>
      </c>
      <c r="L29" s="42">
        <v>9</v>
      </c>
      <c r="M29" s="204">
        <f t="shared" si="0"/>
        <v>9.9</v>
      </c>
      <c r="N29" s="20" t="s">
        <v>23</v>
      </c>
      <c r="O29" s="127">
        <v>6.9999999999999999E-4</v>
      </c>
      <c r="P29" s="16">
        <f t="shared" si="1"/>
        <v>6.9999999999999993E-2</v>
      </c>
      <c r="Q29" s="14" t="s">
        <v>346</v>
      </c>
      <c r="R29" s="9"/>
      <c r="S29" s="9"/>
    </row>
    <row r="30" spans="1:19" ht="15" thickBot="1" x14ac:dyDescent="0.35">
      <c r="A30" s="113">
        <v>28</v>
      </c>
      <c r="B30" s="199"/>
      <c r="C30" s="117" t="s">
        <v>191</v>
      </c>
      <c r="D30" s="41" t="s">
        <v>192</v>
      </c>
      <c r="E30" s="12" t="s">
        <v>127</v>
      </c>
      <c r="F30" s="18" t="s">
        <v>193</v>
      </c>
      <c r="G30" s="18" t="s">
        <v>129</v>
      </c>
      <c r="H30" s="154" t="s">
        <v>348</v>
      </c>
      <c r="I30" s="154" t="s">
        <v>347</v>
      </c>
      <c r="J30" s="12" t="s">
        <v>194</v>
      </c>
      <c r="K30" s="12">
        <v>100</v>
      </c>
      <c r="L30" s="42">
        <v>2</v>
      </c>
      <c r="M30" s="204">
        <f t="shared" si="0"/>
        <v>2.2000000000000002</v>
      </c>
      <c r="N30" s="20" t="s">
        <v>23</v>
      </c>
      <c r="O30" s="127">
        <v>3.7000000000000002E-3</v>
      </c>
      <c r="P30" s="16">
        <f t="shared" si="1"/>
        <v>0.37</v>
      </c>
      <c r="Q30" s="14" t="s">
        <v>349</v>
      </c>
      <c r="R30" s="9"/>
      <c r="S30" s="9"/>
    </row>
    <row r="31" spans="1:19" ht="15" thickBot="1" x14ac:dyDescent="0.35">
      <c r="A31" s="113">
        <v>29</v>
      </c>
      <c r="B31" s="199"/>
      <c r="C31" s="117" t="s">
        <v>195</v>
      </c>
      <c r="D31" s="18" t="s">
        <v>196</v>
      </c>
      <c r="E31" s="12" t="s">
        <v>127</v>
      </c>
      <c r="F31" s="18" t="s">
        <v>197</v>
      </c>
      <c r="G31" s="18" t="s">
        <v>187</v>
      </c>
      <c r="H31" s="154" t="s">
        <v>198</v>
      </c>
      <c r="I31" s="154" t="s">
        <v>199</v>
      </c>
      <c r="J31" s="12" t="s">
        <v>200</v>
      </c>
      <c r="K31" s="14">
        <v>40</v>
      </c>
      <c r="L31" s="13">
        <v>8</v>
      </c>
      <c r="M31" s="204">
        <f t="shared" si="0"/>
        <v>8.8000000000000007</v>
      </c>
      <c r="N31" s="15" t="s">
        <v>23</v>
      </c>
      <c r="O31" s="127">
        <v>4.6699999999999998E-2</v>
      </c>
      <c r="P31" s="16">
        <f t="shared" si="1"/>
        <v>1.8679999999999999</v>
      </c>
      <c r="Q31" s="14"/>
      <c r="R31" s="9"/>
      <c r="S31" s="9"/>
    </row>
    <row r="32" spans="1:19" ht="15" thickBot="1" x14ac:dyDescent="0.35">
      <c r="A32" s="113">
        <v>30</v>
      </c>
      <c r="B32" s="199"/>
      <c r="C32" s="117" t="s">
        <v>201</v>
      </c>
      <c r="D32" s="11" t="s">
        <v>202</v>
      </c>
      <c r="E32" s="12" t="s">
        <v>127</v>
      </c>
      <c r="F32" s="18" t="s">
        <v>203</v>
      </c>
      <c r="G32" s="18" t="s">
        <v>168</v>
      </c>
      <c r="H32" s="154" t="s">
        <v>204</v>
      </c>
      <c r="I32" s="155" t="s">
        <v>205</v>
      </c>
      <c r="J32" s="12" t="s">
        <v>206</v>
      </c>
      <c r="K32" s="14">
        <v>10</v>
      </c>
      <c r="L32" s="13">
        <v>2</v>
      </c>
      <c r="M32" s="204">
        <f t="shared" si="0"/>
        <v>2.2000000000000002</v>
      </c>
      <c r="N32" s="15" t="s">
        <v>23</v>
      </c>
      <c r="O32" s="127">
        <v>3.04E-2</v>
      </c>
      <c r="P32" s="16">
        <f t="shared" si="1"/>
        <v>0.30399999999999999</v>
      </c>
      <c r="Q32" s="14"/>
      <c r="R32" s="9"/>
      <c r="S32" s="9"/>
    </row>
    <row r="33" spans="1:19" ht="15" thickBot="1" x14ac:dyDescent="0.35">
      <c r="A33" s="113">
        <v>31</v>
      </c>
      <c r="B33" s="199"/>
      <c r="C33" s="117" t="s">
        <v>207</v>
      </c>
      <c r="D33" s="18" t="s">
        <v>208</v>
      </c>
      <c r="E33" s="12" t="s">
        <v>127</v>
      </c>
      <c r="F33" s="18" t="s">
        <v>209</v>
      </c>
      <c r="G33" s="18" t="s">
        <v>168</v>
      </c>
      <c r="H33" s="154" t="s">
        <v>210</v>
      </c>
      <c r="I33" s="171" t="s">
        <v>211</v>
      </c>
      <c r="J33" s="12" t="s">
        <v>212</v>
      </c>
      <c r="K33" s="14">
        <v>50</v>
      </c>
      <c r="L33" s="13">
        <v>1</v>
      </c>
      <c r="M33" s="204">
        <f t="shared" si="0"/>
        <v>1.1000000000000001</v>
      </c>
      <c r="N33" s="15" t="s">
        <v>23</v>
      </c>
      <c r="O33" s="127">
        <v>6.8999999999999999E-3</v>
      </c>
      <c r="P33" s="16">
        <f t="shared" si="1"/>
        <v>0.34499999999999997</v>
      </c>
      <c r="Q33" s="14" t="s">
        <v>349</v>
      </c>
      <c r="R33" s="9"/>
      <c r="S33" s="9"/>
    </row>
    <row r="34" spans="1:19" ht="15" thickBot="1" x14ac:dyDescent="0.35">
      <c r="A34" s="113">
        <v>32</v>
      </c>
      <c r="B34" s="199"/>
      <c r="C34" s="215" t="s">
        <v>213</v>
      </c>
      <c r="D34" s="11" t="s">
        <v>214</v>
      </c>
      <c r="E34" s="45" t="s">
        <v>215</v>
      </c>
      <c r="F34" s="11" t="s">
        <v>216</v>
      </c>
      <c r="G34" s="18" t="s">
        <v>187</v>
      </c>
      <c r="H34" s="154" t="s">
        <v>217</v>
      </c>
      <c r="I34" s="18" t="s">
        <v>85</v>
      </c>
      <c r="J34" s="12" t="s">
        <v>218</v>
      </c>
      <c r="K34" s="14">
        <v>100</v>
      </c>
      <c r="L34" s="13">
        <v>1</v>
      </c>
      <c r="M34" s="204">
        <f t="shared" si="0"/>
        <v>1.1000000000000001</v>
      </c>
      <c r="N34" s="15" t="s">
        <v>23</v>
      </c>
      <c r="O34" s="127">
        <v>2.5999999999999999E-3</v>
      </c>
      <c r="P34" s="16">
        <f t="shared" si="1"/>
        <v>0.26</v>
      </c>
      <c r="Q34" s="14"/>
      <c r="R34" s="9"/>
      <c r="S34" s="9"/>
    </row>
    <row r="35" spans="1:19" ht="15" thickBot="1" x14ac:dyDescent="0.35">
      <c r="A35" s="113">
        <v>33</v>
      </c>
      <c r="B35" s="200"/>
      <c r="C35" s="250" t="s">
        <v>219</v>
      </c>
      <c r="D35" s="40" t="s">
        <v>220</v>
      </c>
      <c r="E35" s="251" t="s">
        <v>127</v>
      </c>
      <c r="F35" s="252" t="s">
        <v>221</v>
      </c>
      <c r="G35" s="176" t="s">
        <v>187</v>
      </c>
      <c r="H35" s="253" t="s">
        <v>222</v>
      </c>
      <c r="I35" s="176" t="s">
        <v>85</v>
      </c>
      <c r="J35" s="24" t="s">
        <v>223</v>
      </c>
      <c r="K35" s="27">
        <v>50</v>
      </c>
      <c r="L35" s="25">
        <v>1</v>
      </c>
      <c r="M35" s="237">
        <f t="shared" si="0"/>
        <v>1.1000000000000001</v>
      </c>
      <c r="N35" s="254" t="s">
        <v>23</v>
      </c>
      <c r="O35" s="131">
        <v>1.6000000000000001E-3</v>
      </c>
      <c r="P35" s="29">
        <f t="shared" si="1"/>
        <v>0.08</v>
      </c>
      <c r="Q35" s="27"/>
      <c r="R35" s="9"/>
      <c r="S35" s="9"/>
    </row>
    <row r="36" spans="1:19" ht="15" thickBot="1" x14ac:dyDescent="0.35">
      <c r="A36" s="113">
        <v>34</v>
      </c>
      <c r="B36" s="199" t="s">
        <v>224</v>
      </c>
      <c r="C36" s="247" t="s">
        <v>225</v>
      </c>
      <c r="D36" s="134" t="s">
        <v>226</v>
      </c>
      <c r="E36" s="134" t="s">
        <v>227</v>
      </c>
      <c r="F36" s="134" t="s">
        <v>228</v>
      </c>
      <c r="G36" s="134" t="s">
        <v>229</v>
      </c>
      <c r="H36" s="135"/>
      <c r="I36" s="134" t="s">
        <v>85</v>
      </c>
      <c r="J36" s="134" t="s">
        <v>85</v>
      </c>
      <c r="K36" s="136">
        <v>5</v>
      </c>
      <c r="L36" s="135">
        <v>1</v>
      </c>
      <c r="M36" s="231">
        <f t="shared" si="0"/>
        <v>1.1000000000000001</v>
      </c>
      <c r="N36" s="137" t="s">
        <v>356</v>
      </c>
      <c r="O36" s="248">
        <v>3.71</v>
      </c>
      <c r="P36" s="234">
        <f t="shared" si="1"/>
        <v>18.55</v>
      </c>
      <c r="Q36" s="249" t="s">
        <v>357</v>
      </c>
      <c r="R36" s="9"/>
      <c r="S36" s="9"/>
    </row>
    <row r="37" spans="1:19" ht="15" thickBot="1" x14ac:dyDescent="0.35">
      <c r="A37" s="113">
        <v>35</v>
      </c>
      <c r="B37" s="199"/>
      <c r="C37" s="117" t="s">
        <v>230</v>
      </c>
      <c r="D37" s="12" t="s">
        <v>231</v>
      </c>
      <c r="E37" s="12" t="s">
        <v>232</v>
      </c>
      <c r="F37" s="12" t="s">
        <v>233</v>
      </c>
      <c r="G37" s="12" t="s">
        <v>234</v>
      </c>
      <c r="H37" s="50" t="s">
        <v>235</v>
      </c>
      <c r="I37" s="12" t="s">
        <v>85</v>
      </c>
      <c r="J37" s="12" t="s">
        <v>85</v>
      </c>
      <c r="K37" s="51">
        <v>5</v>
      </c>
      <c r="L37" s="13">
        <v>1</v>
      </c>
      <c r="M37" s="204">
        <f t="shared" si="0"/>
        <v>1.1000000000000001</v>
      </c>
      <c r="N37" s="20" t="s">
        <v>23</v>
      </c>
      <c r="O37" s="127">
        <v>2.2288999999999999</v>
      </c>
      <c r="P37" s="16">
        <f t="shared" si="1"/>
        <v>11.144499999999999</v>
      </c>
      <c r="Q37" s="14"/>
      <c r="R37" s="9"/>
      <c r="S37" s="9"/>
    </row>
    <row r="38" spans="1:19" ht="15" thickBot="1" x14ac:dyDescent="0.35">
      <c r="A38" s="113">
        <v>36</v>
      </c>
      <c r="B38" s="199"/>
      <c r="C38" s="117" t="s">
        <v>236</v>
      </c>
      <c r="D38" s="12" t="s">
        <v>237</v>
      </c>
      <c r="E38" s="12" t="s">
        <v>238</v>
      </c>
      <c r="F38" s="12" t="s">
        <v>239</v>
      </c>
      <c r="G38" s="12" t="s">
        <v>122</v>
      </c>
      <c r="H38" s="50" t="s">
        <v>240</v>
      </c>
      <c r="I38" s="12" t="s">
        <v>85</v>
      </c>
      <c r="J38" s="12" t="s">
        <v>85</v>
      </c>
      <c r="K38" s="51">
        <v>5</v>
      </c>
      <c r="L38" s="13">
        <v>1</v>
      </c>
      <c r="M38" s="204">
        <f t="shared" si="0"/>
        <v>1.1000000000000001</v>
      </c>
      <c r="N38" s="20" t="s">
        <v>23</v>
      </c>
      <c r="O38" s="127">
        <v>0.16400000000000001</v>
      </c>
      <c r="P38" s="16">
        <f t="shared" si="1"/>
        <v>0.82000000000000006</v>
      </c>
      <c r="Q38" s="14" t="s">
        <v>351</v>
      </c>
      <c r="R38" s="9"/>
      <c r="S38" s="9"/>
    </row>
    <row r="39" spans="1:19" ht="15" thickBot="1" x14ac:dyDescent="0.35">
      <c r="A39" s="113">
        <v>37</v>
      </c>
      <c r="B39" s="199"/>
      <c r="C39" s="217" t="s">
        <v>241</v>
      </c>
      <c r="D39" s="89" t="s">
        <v>242</v>
      </c>
      <c r="E39" s="89" t="s">
        <v>243</v>
      </c>
      <c r="F39" s="89" t="s">
        <v>244</v>
      </c>
      <c r="G39" s="89" t="s">
        <v>245</v>
      </c>
      <c r="H39" s="90" t="s">
        <v>246</v>
      </c>
      <c r="I39" s="89" t="s">
        <v>85</v>
      </c>
      <c r="J39" s="89" t="s">
        <v>85</v>
      </c>
      <c r="K39" s="97">
        <v>5</v>
      </c>
      <c r="L39" s="90">
        <v>1</v>
      </c>
      <c r="M39" s="204">
        <f t="shared" si="0"/>
        <v>1.1000000000000001</v>
      </c>
      <c r="N39" s="213" t="s">
        <v>251</v>
      </c>
      <c r="O39" s="129">
        <v>4.3600000000000003</v>
      </c>
      <c r="P39" s="16">
        <f t="shared" si="1"/>
        <v>21.8</v>
      </c>
      <c r="Q39" s="216" t="s">
        <v>111</v>
      </c>
      <c r="R39" s="9"/>
      <c r="S39" s="9"/>
    </row>
    <row r="40" spans="1:19" ht="15" thickBot="1" x14ac:dyDescent="0.35">
      <c r="A40" s="113">
        <v>38</v>
      </c>
      <c r="B40" s="199"/>
      <c r="C40" s="218" t="s">
        <v>247</v>
      </c>
      <c r="D40" s="92" t="s">
        <v>248</v>
      </c>
      <c r="E40" s="92" t="s">
        <v>249</v>
      </c>
      <c r="F40" s="92" t="s">
        <v>250</v>
      </c>
      <c r="G40" s="92" t="s">
        <v>229</v>
      </c>
      <c r="H40" s="50" t="s">
        <v>350</v>
      </c>
      <c r="I40" s="41" t="s">
        <v>85</v>
      </c>
      <c r="J40" s="41" t="s">
        <v>123</v>
      </c>
      <c r="K40" s="51">
        <v>5</v>
      </c>
      <c r="L40" s="13">
        <v>1</v>
      </c>
      <c r="M40" s="204">
        <f t="shared" si="0"/>
        <v>1.1000000000000001</v>
      </c>
      <c r="N40" s="20" t="s">
        <v>23</v>
      </c>
      <c r="O40" s="127">
        <v>5.3250999999999999</v>
      </c>
      <c r="P40" s="16">
        <f t="shared" si="1"/>
        <v>26.625499999999999</v>
      </c>
      <c r="Q40" s="206"/>
      <c r="R40" s="9"/>
      <c r="S40" s="9"/>
    </row>
    <row r="41" spans="1:19" ht="15" thickBot="1" x14ac:dyDescent="0.35">
      <c r="A41" s="113">
        <v>39</v>
      </c>
      <c r="B41" s="199"/>
      <c r="C41" s="209" t="s">
        <v>252</v>
      </c>
      <c r="D41" s="11" t="s">
        <v>253</v>
      </c>
      <c r="E41" s="11" t="s">
        <v>254</v>
      </c>
      <c r="F41" s="11" t="s">
        <v>255</v>
      </c>
      <c r="G41" s="12" t="s">
        <v>122</v>
      </c>
      <c r="H41" s="50" t="s">
        <v>256</v>
      </c>
      <c r="I41" s="12" t="s">
        <v>85</v>
      </c>
      <c r="J41" s="12" t="s">
        <v>85</v>
      </c>
      <c r="K41" s="51">
        <v>5</v>
      </c>
      <c r="L41" s="13">
        <v>1</v>
      </c>
      <c r="M41" s="204">
        <f t="shared" si="0"/>
        <v>1.1000000000000001</v>
      </c>
      <c r="N41" s="20" t="s">
        <v>23</v>
      </c>
      <c r="O41" s="127">
        <v>0.50139999999999996</v>
      </c>
      <c r="P41" s="16">
        <f t="shared" si="1"/>
        <v>2.5069999999999997</v>
      </c>
      <c r="Q41" s="208"/>
      <c r="R41" s="9"/>
      <c r="S41" s="9"/>
    </row>
    <row r="42" spans="1:19" ht="15" thickBot="1" x14ac:dyDescent="0.35">
      <c r="A42" s="113">
        <v>40</v>
      </c>
      <c r="B42" s="199"/>
      <c r="C42" s="119" t="s">
        <v>257</v>
      </c>
      <c r="D42" s="24" t="s">
        <v>258</v>
      </c>
      <c r="E42" s="24" t="s">
        <v>259</v>
      </c>
      <c r="F42" s="24" t="s">
        <v>260</v>
      </c>
      <c r="G42" s="24" t="s">
        <v>261</v>
      </c>
      <c r="H42" s="39" t="s">
        <v>262</v>
      </c>
      <c r="I42" s="24" t="s">
        <v>85</v>
      </c>
      <c r="J42" s="24" t="s">
        <v>85</v>
      </c>
      <c r="K42" s="256">
        <v>5</v>
      </c>
      <c r="L42" s="25">
        <v>1</v>
      </c>
      <c r="M42" s="237">
        <f t="shared" si="0"/>
        <v>1.1000000000000001</v>
      </c>
      <c r="N42" s="28" t="s">
        <v>23</v>
      </c>
      <c r="O42" s="131">
        <v>0.84399999999999997</v>
      </c>
      <c r="P42" s="29">
        <f t="shared" si="1"/>
        <v>4.22</v>
      </c>
      <c r="Q42" s="27" t="s">
        <v>351</v>
      </c>
      <c r="R42" s="9"/>
      <c r="S42" s="9"/>
    </row>
    <row r="43" spans="1:19" ht="15" thickBot="1" x14ac:dyDescent="0.35">
      <c r="A43" s="113">
        <v>41</v>
      </c>
      <c r="B43" s="198" t="s">
        <v>263</v>
      </c>
      <c r="C43" s="238" t="s">
        <v>264</v>
      </c>
      <c r="D43" s="227" t="s">
        <v>265</v>
      </c>
      <c r="E43" s="228" t="s">
        <v>62</v>
      </c>
      <c r="F43" s="227" t="s">
        <v>266</v>
      </c>
      <c r="G43" s="239" t="s">
        <v>267</v>
      </c>
      <c r="H43" s="241" t="s">
        <v>268</v>
      </c>
      <c r="I43" s="61" t="s">
        <v>269</v>
      </c>
      <c r="J43" s="61" t="s">
        <v>123</v>
      </c>
      <c r="K43" s="255">
        <v>50</v>
      </c>
      <c r="L43" s="64">
        <v>2</v>
      </c>
      <c r="M43" s="231">
        <f t="shared" si="0"/>
        <v>2.2000000000000002</v>
      </c>
      <c r="N43" s="232" t="s">
        <v>23</v>
      </c>
      <c r="O43" s="233">
        <v>1.0500000000000001E-2</v>
      </c>
      <c r="P43" s="234">
        <f t="shared" si="1"/>
        <v>0.52500000000000002</v>
      </c>
      <c r="Q43" s="63" t="s">
        <v>352</v>
      </c>
      <c r="R43" s="9"/>
      <c r="S43" s="9"/>
    </row>
    <row r="44" spans="1:19" ht="15" thickBot="1" x14ac:dyDescent="0.35">
      <c r="A44" s="113">
        <v>42</v>
      </c>
      <c r="B44" s="199"/>
      <c r="C44" s="209" t="s">
        <v>270</v>
      </c>
      <c r="D44" s="11" t="s">
        <v>271</v>
      </c>
      <c r="E44" s="18" t="s">
        <v>62</v>
      </c>
      <c r="F44" s="11" t="s">
        <v>272</v>
      </c>
      <c r="G44" s="45" t="s">
        <v>267</v>
      </c>
      <c r="H44" s="50" t="s">
        <v>273</v>
      </c>
      <c r="I44" s="12" t="s">
        <v>274</v>
      </c>
      <c r="J44" s="12" t="s">
        <v>123</v>
      </c>
      <c r="K44" s="51">
        <v>50</v>
      </c>
      <c r="L44" s="13">
        <v>1</v>
      </c>
      <c r="M44" s="204">
        <f t="shared" si="0"/>
        <v>1.1000000000000001</v>
      </c>
      <c r="N44" s="20" t="s">
        <v>23</v>
      </c>
      <c r="O44" s="127">
        <v>8.3000000000000001E-3</v>
      </c>
      <c r="P44" s="16">
        <f t="shared" si="1"/>
        <v>0.41499999999999998</v>
      </c>
      <c r="Q44" s="14" t="s">
        <v>352</v>
      </c>
      <c r="R44" s="9"/>
      <c r="S44" s="9"/>
    </row>
    <row r="45" spans="1:19" ht="15" thickBot="1" x14ac:dyDescent="0.35">
      <c r="A45" s="113">
        <v>43</v>
      </c>
      <c r="B45" s="199"/>
      <c r="C45" s="117" t="s">
        <v>275</v>
      </c>
      <c r="D45" s="12" t="s">
        <v>276</v>
      </c>
      <c r="E45" s="12" t="s">
        <v>62</v>
      </c>
      <c r="F45" s="12" t="s">
        <v>277</v>
      </c>
      <c r="G45" s="12" t="s">
        <v>278</v>
      </c>
      <c r="H45" s="34" t="s">
        <v>279</v>
      </c>
      <c r="I45" s="12" t="s">
        <v>85</v>
      </c>
      <c r="J45" s="12" t="s">
        <v>85</v>
      </c>
      <c r="K45" s="14">
        <v>5</v>
      </c>
      <c r="L45" s="13">
        <v>1</v>
      </c>
      <c r="M45" s="204">
        <f t="shared" si="0"/>
        <v>1.1000000000000001</v>
      </c>
      <c r="N45" s="15" t="s">
        <v>23</v>
      </c>
      <c r="O45" s="127">
        <v>0.99550000000000005</v>
      </c>
      <c r="P45" s="16">
        <f t="shared" si="1"/>
        <v>4.9775</v>
      </c>
      <c r="Q45" s="14"/>
      <c r="R45" s="9"/>
      <c r="S45" s="9"/>
    </row>
    <row r="46" spans="1:19" ht="15" thickBot="1" x14ac:dyDescent="0.35">
      <c r="A46" s="113">
        <v>44</v>
      </c>
      <c r="B46" s="199"/>
      <c r="C46" s="117" t="s">
        <v>280</v>
      </c>
      <c r="D46" s="12" t="s">
        <v>281</v>
      </c>
      <c r="E46" s="12" t="s">
        <v>62</v>
      </c>
      <c r="F46" s="12" t="s">
        <v>282</v>
      </c>
      <c r="G46" s="12" t="s">
        <v>283</v>
      </c>
      <c r="H46" s="13" t="s">
        <v>284</v>
      </c>
      <c r="I46" s="12" t="s">
        <v>85</v>
      </c>
      <c r="J46" s="12" t="s">
        <v>85</v>
      </c>
      <c r="K46" s="14">
        <v>10</v>
      </c>
      <c r="L46" s="13">
        <v>2</v>
      </c>
      <c r="M46" s="204">
        <f t="shared" si="0"/>
        <v>2.2000000000000002</v>
      </c>
      <c r="N46" s="15" t="s">
        <v>23</v>
      </c>
      <c r="O46" s="127">
        <v>0.30409999999999998</v>
      </c>
      <c r="P46" s="16">
        <f t="shared" si="1"/>
        <v>3.0409999999999999</v>
      </c>
      <c r="Q46" s="14"/>
      <c r="R46" s="9"/>
      <c r="S46" s="9"/>
    </row>
    <row r="47" spans="1:19" ht="15" thickBot="1" x14ac:dyDescent="0.35">
      <c r="A47" s="113">
        <v>45</v>
      </c>
      <c r="B47" s="199"/>
      <c r="C47" s="117" t="s">
        <v>285</v>
      </c>
      <c r="D47" s="12" t="s">
        <v>286</v>
      </c>
      <c r="E47" s="12" t="s">
        <v>62</v>
      </c>
      <c r="F47" s="12" t="s">
        <v>287</v>
      </c>
      <c r="G47" s="12" t="s">
        <v>288</v>
      </c>
      <c r="H47" s="34" t="s">
        <v>289</v>
      </c>
      <c r="I47" s="12" t="s">
        <v>85</v>
      </c>
      <c r="J47" s="12" t="s">
        <v>290</v>
      </c>
      <c r="K47" s="14">
        <v>5</v>
      </c>
      <c r="L47" s="13">
        <v>1</v>
      </c>
      <c r="M47" s="204">
        <f t="shared" si="0"/>
        <v>1.1000000000000001</v>
      </c>
      <c r="N47" s="15" t="s">
        <v>23</v>
      </c>
      <c r="O47" s="127">
        <v>3.2496</v>
      </c>
      <c r="P47" s="16">
        <f t="shared" si="1"/>
        <v>16.248000000000001</v>
      </c>
      <c r="Q47" s="208"/>
      <c r="R47" s="9"/>
      <c r="S47" s="9"/>
    </row>
    <row r="48" spans="1:19" ht="15" thickBot="1" x14ac:dyDescent="0.35">
      <c r="A48" s="113">
        <v>46</v>
      </c>
      <c r="B48" s="199"/>
      <c r="C48" s="117" t="s">
        <v>291</v>
      </c>
      <c r="D48" s="12" t="s">
        <v>292</v>
      </c>
      <c r="E48" s="12" t="s">
        <v>62</v>
      </c>
      <c r="F48" s="12" t="s">
        <v>293</v>
      </c>
      <c r="G48" s="12" t="s">
        <v>294</v>
      </c>
      <c r="H48" s="12" t="s">
        <v>290</v>
      </c>
      <c r="I48" s="12" t="s">
        <v>290</v>
      </c>
      <c r="J48" s="12" t="s">
        <v>290</v>
      </c>
      <c r="K48" s="12">
        <v>5</v>
      </c>
      <c r="L48" s="13">
        <v>1</v>
      </c>
      <c r="M48" s="204">
        <f t="shared" si="0"/>
        <v>1.1000000000000001</v>
      </c>
      <c r="N48" s="15" t="s">
        <v>251</v>
      </c>
      <c r="O48" s="132">
        <v>1.36</v>
      </c>
      <c r="P48" s="16">
        <f t="shared" si="1"/>
        <v>6.8000000000000007</v>
      </c>
      <c r="Q48" s="14" t="s">
        <v>354</v>
      </c>
      <c r="R48" s="9"/>
      <c r="S48" s="9"/>
    </row>
    <row r="49" spans="1:19" ht="15" thickBot="1" x14ac:dyDescent="0.35">
      <c r="A49" s="113">
        <v>47</v>
      </c>
      <c r="B49" s="199"/>
      <c r="C49" s="117" t="s">
        <v>295</v>
      </c>
      <c r="D49" s="12" t="s">
        <v>296</v>
      </c>
      <c r="E49" s="12" t="s">
        <v>62</v>
      </c>
      <c r="F49" s="12" t="s">
        <v>297</v>
      </c>
      <c r="G49" s="12" t="s">
        <v>298</v>
      </c>
      <c r="H49" s="13" t="s">
        <v>299</v>
      </c>
      <c r="I49" s="19" t="s">
        <v>105</v>
      </c>
      <c r="J49" s="12" t="s">
        <v>290</v>
      </c>
      <c r="K49" s="14">
        <v>5</v>
      </c>
      <c r="L49" s="13">
        <v>1</v>
      </c>
      <c r="M49" s="204">
        <f t="shared" si="0"/>
        <v>1.1000000000000001</v>
      </c>
      <c r="N49" s="15" t="s">
        <v>23</v>
      </c>
      <c r="O49" s="132">
        <v>0.39140000000000003</v>
      </c>
      <c r="P49" s="16">
        <f t="shared" si="1"/>
        <v>1.9570000000000001</v>
      </c>
      <c r="Q49" s="14"/>
      <c r="R49" s="9"/>
      <c r="S49" s="9"/>
    </row>
    <row r="50" spans="1:19" ht="15" thickBot="1" x14ac:dyDescent="0.35">
      <c r="A50" s="113">
        <v>48</v>
      </c>
      <c r="B50" s="199"/>
      <c r="C50" s="117" t="s">
        <v>300</v>
      </c>
      <c r="D50" s="12" t="s">
        <v>301</v>
      </c>
      <c r="E50" s="12" t="s">
        <v>62</v>
      </c>
      <c r="F50" s="12" t="s">
        <v>302</v>
      </c>
      <c r="G50" s="12" t="s">
        <v>267</v>
      </c>
      <c r="H50" s="34" t="s">
        <v>303</v>
      </c>
      <c r="I50" s="34" t="s">
        <v>304</v>
      </c>
      <c r="J50" s="12"/>
      <c r="K50" s="14">
        <v>10</v>
      </c>
      <c r="L50" s="13">
        <v>1</v>
      </c>
      <c r="M50" s="204">
        <f t="shared" si="0"/>
        <v>1.1000000000000001</v>
      </c>
      <c r="N50" s="15" t="s">
        <v>23</v>
      </c>
      <c r="O50" s="127">
        <v>5.4100000000000002E-2</v>
      </c>
      <c r="P50" s="16">
        <f t="shared" si="1"/>
        <v>0.54100000000000004</v>
      </c>
      <c r="Q50" s="14"/>
      <c r="R50" s="9"/>
      <c r="S50" s="9"/>
    </row>
    <row r="51" spans="1:19" ht="15" thickBot="1" x14ac:dyDescent="0.35">
      <c r="A51" s="113">
        <v>49</v>
      </c>
      <c r="B51" s="199"/>
      <c r="C51" s="117" t="s">
        <v>305</v>
      </c>
      <c r="D51" s="11" t="s">
        <v>306</v>
      </c>
      <c r="E51" s="12" t="s">
        <v>62</v>
      </c>
      <c r="F51" s="13" t="s">
        <v>308</v>
      </c>
      <c r="G51" s="14" t="s">
        <v>353</v>
      </c>
      <c r="H51" s="13" t="s">
        <v>307</v>
      </c>
      <c r="I51" s="13"/>
      <c r="J51" s="12"/>
      <c r="K51" s="14">
        <v>10</v>
      </c>
      <c r="L51" s="13">
        <v>2</v>
      </c>
      <c r="M51" s="204">
        <f t="shared" si="0"/>
        <v>2.2000000000000002</v>
      </c>
      <c r="N51" s="15" t="s">
        <v>23</v>
      </c>
      <c r="O51" s="127">
        <v>0.16200000000000001</v>
      </c>
      <c r="P51" s="16">
        <f t="shared" si="1"/>
        <v>1.62</v>
      </c>
      <c r="Q51" s="208"/>
      <c r="R51" s="9"/>
      <c r="S51" s="9"/>
    </row>
    <row r="52" spans="1:19" ht="15" thickBot="1" x14ac:dyDescent="0.35">
      <c r="A52" s="113">
        <v>50</v>
      </c>
      <c r="B52" s="199"/>
      <c r="C52" s="149" t="s">
        <v>363</v>
      </c>
      <c r="D52" s="12" t="s">
        <v>309</v>
      </c>
      <c r="E52" s="12" t="s">
        <v>62</v>
      </c>
      <c r="F52" s="12" t="s">
        <v>361</v>
      </c>
      <c r="G52" s="12" t="s">
        <v>362</v>
      </c>
      <c r="H52" s="219" t="s">
        <v>364</v>
      </c>
      <c r="I52" s="12" t="s">
        <v>290</v>
      </c>
      <c r="J52" s="12" t="s">
        <v>123</v>
      </c>
      <c r="K52" s="51">
        <v>5</v>
      </c>
      <c r="L52" s="13">
        <v>1</v>
      </c>
      <c r="M52" s="204">
        <f t="shared" si="0"/>
        <v>1.1000000000000001</v>
      </c>
      <c r="N52" s="220" t="s">
        <v>23</v>
      </c>
      <c r="O52" s="221">
        <v>1.8448</v>
      </c>
      <c r="P52" s="16">
        <f t="shared" si="1"/>
        <v>9.2240000000000002</v>
      </c>
      <c r="Q52" s="14"/>
      <c r="R52" s="9"/>
      <c r="S52" s="9"/>
    </row>
    <row r="53" spans="1:19" ht="15" thickBot="1" x14ac:dyDescent="0.35">
      <c r="A53" s="113">
        <v>51</v>
      </c>
      <c r="B53" s="199"/>
      <c r="C53" s="117" t="s">
        <v>310</v>
      </c>
      <c r="D53" s="12" t="s">
        <v>311</v>
      </c>
      <c r="E53" s="12" t="s">
        <v>62</v>
      </c>
      <c r="F53" s="12" t="s">
        <v>312</v>
      </c>
      <c r="G53" s="12" t="s">
        <v>313</v>
      </c>
      <c r="H53" s="50" t="s">
        <v>314</v>
      </c>
      <c r="I53" s="12" t="s">
        <v>290</v>
      </c>
      <c r="J53" s="12" t="s">
        <v>123</v>
      </c>
      <c r="K53" s="51">
        <v>10</v>
      </c>
      <c r="L53" s="13">
        <v>1</v>
      </c>
      <c r="M53" s="204">
        <f t="shared" si="0"/>
        <v>1.1000000000000001</v>
      </c>
      <c r="N53" s="222" t="s">
        <v>23</v>
      </c>
      <c r="O53" s="128">
        <v>4.5900000000000003E-2</v>
      </c>
      <c r="P53" s="16">
        <f t="shared" si="1"/>
        <v>0.45900000000000002</v>
      </c>
      <c r="Q53" s="14"/>
      <c r="R53" s="9"/>
      <c r="S53" s="9"/>
    </row>
    <row r="54" spans="1:19" ht="42" thickBot="1" x14ac:dyDescent="0.35">
      <c r="A54" s="113">
        <v>52</v>
      </c>
      <c r="B54" s="199"/>
      <c r="C54" s="223" t="s">
        <v>315</v>
      </c>
      <c r="D54" s="67" t="s">
        <v>316</v>
      </c>
      <c r="E54" s="67" t="s">
        <v>62</v>
      </c>
      <c r="F54" s="68" t="s">
        <v>317</v>
      </c>
      <c r="G54" s="69" t="s">
        <v>318</v>
      </c>
      <c r="H54" s="69" t="s">
        <v>318</v>
      </c>
      <c r="I54" s="69" t="s">
        <v>318</v>
      </c>
      <c r="J54" s="69" t="s">
        <v>123</v>
      </c>
      <c r="K54" s="69" t="s">
        <v>85</v>
      </c>
      <c r="L54" s="70">
        <v>32</v>
      </c>
      <c r="M54" s="204">
        <f t="shared" si="0"/>
        <v>35.200000000000003</v>
      </c>
      <c r="N54" s="69" t="s">
        <v>318</v>
      </c>
      <c r="O54" s="71" t="s">
        <v>318</v>
      </c>
      <c r="P54" s="16" t="e">
        <f t="shared" si="1"/>
        <v>#VALUE!</v>
      </c>
      <c r="Q54" s="224" t="s">
        <v>319</v>
      </c>
      <c r="R54" s="9"/>
      <c r="S54" s="9"/>
    </row>
    <row r="55" spans="1:19" ht="15" thickBot="1" x14ac:dyDescent="0.35">
      <c r="A55" s="113">
        <v>53</v>
      </c>
      <c r="B55" s="200"/>
      <c r="C55" s="259" t="s">
        <v>320</v>
      </c>
      <c r="D55" s="74" t="s">
        <v>321</v>
      </c>
      <c r="E55" s="74" t="s">
        <v>62</v>
      </c>
      <c r="F55" s="75" t="s">
        <v>322</v>
      </c>
      <c r="G55" s="76" t="s">
        <v>318</v>
      </c>
      <c r="H55" s="76" t="s">
        <v>318</v>
      </c>
      <c r="I55" s="76" t="s">
        <v>318</v>
      </c>
      <c r="J55" s="76" t="s">
        <v>123</v>
      </c>
      <c r="K55" s="76" t="s">
        <v>85</v>
      </c>
      <c r="L55" s="260">
        <v>1</v>
      </c>
      <c r="M55" s="237">
        <f t="shared" si="0"/>
        <v>1.1000000000000001</v>
      </c>
      <c r="N55" s="76" t="s">
        <v>318</v>
      </c>
      <c r="O55" s="125" t="s">
        <v>318</v>
      </c>
      <c r="P55" s="29" t="e">
        <f t="shared" si="1"/>
        <v>#VALUE!</v>
      </c>
      <c r="Q55" s="261" t="s">
        <v>319</v>
      </c>
      <c r="R55" s="9"/>
      <c r="S55" s="9"/>
    </row>
    <row r="56" spans="1:19" ht="15" thickBot="1" x14ac:dyDescent="0.35">
      <c r="A56" s="113">
        <v>54</v>
      </c>
      <c r="B56" s="201" t="s">
        <v>323</v>
      </c>
      <c r="C56" s="226" t="s">
        <v>324</v>
      </c>
      <c r="D56" s="257" t="s">
        <v>205</v>
      </c>
      <c r="E56" s="61" t="s">
        <v>62</v>
      </c>
      <c r="F56" s="61" t="s">
        <v>325</v>
      </c>
      <c r="G56" s="61" t="s">
        <v>326</v>
      </c>
      <c r="H56" s="257" t="s">
        <v>205</v>
      </c>
      <c r="I56" s="61" t="s">
        <v>85</v>
      </c>
      <c r="J56" s="61" t="s">
        <v>85</v>
      </c>
      <c r="K56" s="61" t="s">
        <v>85</v>
      </c>
      <c r="L56" s="64">
        <v>1</v>
      </c>
      <c r="M56" s="231">
        <f t="shared" si="0"/>
        <v>1.1000000000000001</v>
      </c>
      <c r="N56" s="258" t="s">
        <v>251</v>
      </c>
      <c r="O56" s="234">
        <v>12.42</v>
      </c>
      <c r="P56" s="234" t="e">
        <f t="shared" si="1"/>
        <v>#VALUE!</v>
      </c>
      <c r="Q56" s="63" t="s">
        <v>360</v>
      </c>
      <c r="R56" s="9"/>
      <c r="S56" s="9"/>
    </row>
    <row r="57" spans="1:19" ht="15" thickBot="1" x14ac:dyDescent="0.35">
      <c r="A57" s="113">
        <v>55</v>
      </c>
      <c r="B57" s="202"/>
      <c r="C57" s="117" t="s">
        <v>327</v>
      </c>
      <c r="D57" s="19" t="s">
        <v>205</v>
      </c>
      <c r="E57" s="12" t="s">
        <v>62</v>
      </c>
      <c r="F57" s="12" t="s">
        <v>328</v>
      </c>
      <c r="G57" s="19" t="s">
        <v>205</v>
      </c>
      <c r="H57" s="19" t="s">
        <v>205</v>
      </c>
      <c r="I57" s="12" t="s">
        <v>85</v>
      </c>
      <c r="J57" s="12" t="s">
        <v>85</v>
      </c>
      <c r="K57" s="12" t="s">
        <v>85</v>
      </c>
      <c r="L57" s="13">
        <v>1</v>
      </c>
      <c r="M57" s="204">
        <f t="shared" si="0"/>
        <v>1.1000000000000001</v>
      </c>
      <c r="N57" s="222"/>
      <c r="O57" s="16"/>
      <c r="P57" s="16" t="e">
        <f t="shared" si="1"/>
        <v>#VALUE!</v>
      </c>
      <c r="Q57" s="97" t="s">
        <v>329</v>
      </c>
      <c r="R57" s="9"/>
      <c r="S57" s="9"/>
    </row>
    <row r="58" spans="1:19" ht="15" thickBot="1" x14ac:dyDescent="0.35">
      <c r="A58" s="113">
        <v>56</v>
      </c>
      <c r="B58" s="202"/>
      <c r="C58" s="117" t="s">
        <v>330</v>
      </c>
      <c r="D58" s="19" t="s">
        <v>205</v>
      </c>
      <c r="E58" s="12" t="s">
        <v>62</v>
      </c>
      <c r="F58" s="12" t="s">
        <v>331</v>
      </c>
      <c r="G58" s="19" t="s">
        <v>332</v>
      </c>
      <c r="H58" s="19" t="s">
        <v>205</v>
      </c>
      <c r="I58" s="12" t="s">
        <v>85</v>
      </c>
      <c r="J58" s="12" t="s">
        <v>85</v>
      </c>
      <c r="K58" s="12" t="s">
        <v>85</v>
      </c>
      <c r="L58" s="13">
        <v>1</v>
      </c>
      <c r="M58" s="204">
        <f t="shared" si="0"/>
        <v>1.1000000000000001</v>
      </c>
      <c r="N58" s="222" t="s">
        <v>251</v>
      </c>
      <c r="O58" s="127">
        <v>101.19</v>
      </c>
      <c r="P58" s="16" t="e">
        <f t="shared" si="1"/>
        <v>#VALUE!</v>
      </c>
      <c r="Q58" s="14"/>
      <c r="R58" s="9"/>
      <c r="S58" s="9"/>
    </row>
    <row r="59" spans="1:19" ht="15" thickBot="1" x14ac:dyDescent="0.35">
      <c r="A59" s="113">
        <v>57</v>
      </c>
      <c r="B59" s="202"/>
      <c r="C59" s="225" t="s">
        <v>333</v>
      </c>
      <c r="D59" s="19" t="s">
        <v>205</v>
      </c>
      <c r="E59" s="50" t="s">
        <v>62</v>
      </c>
      <c r="F59" s="19" t="s">
        <v>334</v>
      </c>
      <c r="G59" s="19" t="s">
        <v>335</v>
      </c>
      <c r="H59" s="19" t="s">
        <v>205</v>
      </c>
      <c r="I59" s="12" t="s">
        <v>85</v>
      </c>
      <c r="J59" s="12" t="s">
        <v>85</v>
      </c>
      <c r="K59" s="12" t="s">
        <v>85</v>
      </c>
      <c r="L59" s="13">
        <v>1</v>
      </c>
      <c r="M59" s="204">
        <f t="shared" si="0"/>
        <v>1.1000000000000001</v>
      </c>
      <c r="N59" s="222" t="s">
        <v>251</v>
      </c>
      <c r="O59" s="16">
        <v>49.99</v>
      </c>
      <c r="P59" s="16" t="e">
        <f t="shared" si="1"/>
        <v>#VALUE!</v>
      </c>
      <c r="Q59" s="14"/>
      <c r="R59" s="9"/>
      <c r="S59" s="9"/>
    </row>
    <row r="60" spans="1:19" ht="15" thickBot="1" x14ac:dyDescent="0.35">
      <c r="A60" s="113">
        <v>58</v>
      </c>
      <c r="B60" s="202"/>
      <c r="C60" s="225" t="s">
        <v>336</v>
      </c>
      <c r="D60" s="19" t="s">
        <v>205</v>
      </c>
      <c r="E60" s="50" t="s">
        <v>62</v>
      </c>
      <c r="F60" s="19" t="s">
        <v>337</v>
      </c>
      <c r="G60" s="19" t="s">
        <v>338</v>
      </c>
      <c r="H60" s="19" t="s">
        <v>205</v>
      </c>
      <c r="I60" s="12" t="s">
        <v>85</v>
      </c>
      <c r="J60" s="12" t="s">
        <v>85</v>
      </c>
      <c r="K60" s="12" t="s">
        <v>85</v>
      </c>
      <c r="L60" s="13">
        <v>1</v>
      </c>
      <c r="M60" s="204">
        <f t="shared" si="0"/>
        <v>1.1000000000000001</v>
      </c>
      <c r="N60" s="222" t="s">
        <v>338</v>
      </c>
      <c r="O60" s="130">
        <v>10</v>
      </c>
      <c r="P60" s="16" t="e">
        <f t="shared" si="1"/>
        <v>#VALUE!</v>
      </c>
      <c r="Q60" s="97" t="s">
        <v>339</v>
      </c>
      <c r="R60" s="9"/>
      <c r="S60" s="9"/>
    </row>
    <row r="61" spans="1:19" ht="15" thickBot="1" x14ac:dyDescent="0.35">
      <c r="A61" s="113">
        <v>59</v>
      </c>
      <c r="B61" s="203"/>
      <c r="C61" s="262" t="s">
        <v>340</v>
      </c>
      <c r="D61" s="26" t="s">
        <v>205</v>
      </c>
      <c r="E61" s="39" t="s">
        <v>62</v>
      </c>
      <c r="F61" s="26" t="s">
        <v>205</v>
      </c>
      <c r="G61" s="26" t="s">
        <v>205</v>
      </c>
      <c r="H61" s="26" t="s">
        <v>205</v>
      </c>
      <c r="I61" s="24" t="s">
        <v>85</v>
      </c>
      <c r="J61" s="24" t="s">
        <v>85</v>
      </c>
      <c r="K61" s="24" t="s">
        <v>85</v>
      </c>
      <c r="L61" s="25">
        <v>2</v>
      </c>
      <c r="M61" s="237">
        <f t="shared" si="0"/>
        <v>2.2000000000000002</v>
      </c>
      <c r="N61" s="263"/>
      <c r="O61" s="29"/>
      <c r="P61" s="29" t="e">
        <f t="shared" si="1"/>
        <v>#VALUE!</v>
      </c>
      <c r="Q61" s="264" t="s">
        <v>329</v>
      </c>
      <c r="R61" s="9"/>
      <c r="S61" s="9"/>
    </row>
    <row r="62" spans="1:19" ht="15" thickBot="1" x14ac:dyDescent="0.35">
      <c r="H62" s="93"/>
      <c r="I62" s="93"/>
      <c r="J62" s="93"/>
      <c r="K62" s="93"/>
      <c r="L62" s="191" t="s">
        <v>341</v>
      </c>
      <c r="M62" s="191"/>
      <c r="N62" s="191"/>
      <c r="O62" s="191"/>
      <c r="P62" s="95"/>
      <c r="Q62" s="93"/>
    </row>
    <row r="63" spans="1:19" x14ac:dyDescent="0.3">
      <c r="H63" s="93"/>
      <c r="I63" s="93"/>
      <c r="J63" s="94"/>
      <c r="K63" s="93"/>
      <c r="L63" s="182" t="s">
        <v>342</v>
      </c>
      <c r="M63" s="182"/>
      <c r="N63" s="182"/>
      <c r="O63" s="182"/>
      <c r="P63" s="85">
        <f>SUM(P3:P51)</f>
        <v>180.08824999999996</v>
      </c>
      <c r="Q63" s="93"/>
    </row>
    <row r="64" spans="1:19" x14ac:dyDescent="0.3">
      <c r="I64" s="87"/>
      <c r="J64" s="87"/>
    </row>
    <row r="65" spans="9:12" x14ac:dyDescent="0.3">
      <c r="J65" s="86"/>
    </row>
    <row r="66" spans="9:12" x14ac:dyDescent="0.3">
      <c r="I66" s="87"/>
      <c r="J66" s="87"/>
      <c r="L66">
        <f>SUM(L3:L61)</f>
        <v>154</v>
      </c>
    </row>
  </sheetData>
  <mergeCells count="11">
    <mergeCell ref="L63:O63"/>
    <mergeCell ref="A1:Q1"/>
    <mergeCell ref="B36:B42"/>
    <mergeCell ref="B43:B55"/>
    <mergeCell ref="B56:B61"/>
    <mergeCell ref="L62:O62"/>
    <mergeCell ref="B20:B35"/>
    <mergeCell ref="B3:B12"/>
    <mergeCell ref="B13:B15"/>
    <mergeCell ref="B16:B17"/>
    <mergeCell ref="B18:B19"/>
  </mergeCells>
  <conditionalFormatting sqref="L55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5">
    <cfRule type="dataBar" priority="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{F93C577B-695B-4BE9-A4D2-BD6AA8A6912D}</x14:id>
        </ext>
      </extLst>
    </cfRule>
  </conditionalFormatting>
  <conditionalFormatting sqref="Q47">
    <cfRule type="dataBar" priority="3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{E93E5041-7595-4B70-A4DE-203BDFD45186}</x14:id>
        </ext>
      </extLst>
    </cfRule>
  </conditionalFormatting>
  <conditionalFormatting sqref="Q41"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{301945FE-B701-4118-A9C3-5DA9DF529466}</x14:id>
        </ext>
      </extLst>
    </cfRule>
  </conditionalFormatting>
  <conditionalFormatting sqref="Q18">
    <cfRule type="dataBar" priority="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{C4FABE8D-C538-4F8C-AF3D-D761B6945538}</x14:id>
        </ext>
      </extLst>
    </cfRule>
  </conditionalFormatting>
  <conditionalFormatting sqref="Q13">
    <cfRule type="dataBar" priority="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{95C28DBC-1CBC-4CC5-8B31-E70202137348}</x14:id>
        </ext>
      </extLst>
    </cfRule>
  </conditionalFormatting>
  <conditionalFormatting sqref="N3:N5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{D0D7514C-12FE-4A4F-8D11-1841726592C8}</x14:id>
        </ext>
      </extLst>
    </cfRule>
  </conditionalFormatting>
  <conditionalFormatting sqref="N45:N5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{A402283A-49C9-49C3-9204-C80C4705ACAA}</x14:id>
        </ext>
      </extLst>
    </cfRule>
  </conditionalFormatting>
  <conditionalFormatting sqref="N20:N22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{F0B90621-6DA6-4516-A516-05C42ACBDF1D}</x14:id>
        </ext>
      </extLst>
    </cfRule>
  </conditionalFormatting>
  <conditionalFormatting sqref="N31:N35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{3534E561-107E-40A4-8165-E983FF420B68}</x14:id>
        </ext>
      </extLst>
    </cfRule>
  </conditionalFormatting>
  <conditionalFormatting sqref="Q51">
    <cfRule type="dataBar" priority="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{7D9785A5-B7CB-4186-8A59-C6DD0A9D39F0}</x14:id>
        </ext>
      </extLst>
    </cfRule>
  </conditionalFormatting>
  <conditionalFormatting sqref="L3:L12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3:L53 L55 M3:M61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4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4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54">
    <cfRule type="dataBar" priority="1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{D04D7BD4-38E1-4065-946C-267B61C3BCE3}</x14:id>
        </ext>
      </extLst>
    </cfRule>
  </conditionalFormatting>
  <conditionalFormatting sqref="L5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8:L5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0:L6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61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{CC5A7198-6EFD-4BBD-B2B4-FEA92BA29842}</x14:id>
        </ext>
      </extLst>
    </cfRule>
  </conditionalFormatting>
  <conditionalFormatting sqref="P63">
    <cfRule type="dataBar" priority="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{23C19627-CC72-4F8E-BAD3-5ABFD29CE306}</x14:id>
        </ext>
      </extLst>
    </cfRule>
  </conditionalFormatting>
  <hyperlinks>
    <hyperlink ref="N3" r:id="rId1" xr:uid="{00000000-0004-0000-0000-000000000000}"/>
    <hyperlink ref="N4" r:id="rId2" xr:uid="{00000000-0004-0000-0000-000001000000}"/>
    <hyperlink ref="N46" r:id="rId3" xr:uid="{00000000-0004-0000-0000-000002000000}"/>
    <hyperlink ref="N47" r:id="rId4" xr:uid="{00000000-0004-0000-0000-000003000000}"/>
    <hyperlink ref="N49" r:id="rId5" xr:uid="{00000000-0004-0000-0000-000004000000}"/>
    <hyperlink ref="N45" r:id="rId6" xr:uid="{00000000-0004-0000-0000-000005000000}"/>
    <hyperlink ref="N51" r:id="rId7" xr:uid="{00000000-0004-0000-0000-000006000000}"/>
    <hyperlink ref="N50" r:id="rId8" xr:uid="{00000000-0004-0000-0000-000007000000}"/>
    <hyperlink ref="N20" r:id="rId9" xr:uid="{00000000-0004-0000-0000-000008000000}"/>
    <hyperlink ref="N21" r:id="rId10" xr:uid="{00000000-0004-0000-0000-000009000000}"/>
    <hyperlink ref="N22" r:id="rId11" xr:uid="{00000000-0004-0000-0000-00000A000000}"/>
    <hyperlink ref="N32" r:id="rId12" xr:uid="{00000000-0004-0000-0000-00000B000000}"/>
    <hyperlink ref="N31" r:id="rId13" xr:uid="{00000000-0004-0000-0000-00000C000000}"/>
    <hyperlink ref="N33" r:id="rId14" xr:uid="{00000000-0004-0000-0000-00000D000000}"/>
    <hyperlink ref="N5" r:id="rId15" xr:uid="{00000000-0004-0000-0000-00000E000000}"/>
    <hyperlink ref="N6" r:id="rId16" xr:uid="{00000000-0004-0000-0000-00000F000000}"/>
    <hyperlink ref="N8" r:id="rId17" xr:uid="{00000000-0004-0000-0000-000010000000}"/>
    <hyperlink ref="N12" r:id="rId18" xr:uid="{00000000-0004-0000-0000-000011000000}"/>
    <hyperlink ref="N13" r:id="rId19" xr:uid="{00000000-0004-0000-0000-000012000000}"/>
    <hyperlink ref="N15" r:id="rId20" xr:uid="{00000000-0004-0000-0000-000013000000}"/>
    <hyperlink ref="N16" r:id="rId21" xr:uid="{00000000-0004-0000-0000-000014000000}"/>
    <hyperlink ref="N18" r:id="rId22" xr:uid="{00000000-0004-0000-0000-000015000000}"/>
    <hyperlink ref="N23" r:id="rId23" xr:uid="{00000000-0004-0000-0000-000016000000}"/>
    <hyperlink ref="N24" r:id="rId24" xr:uid="{00000000-0004-0000-0000-000017000000}"/>
    <hyperlink ref="N25" r:id="rId25" xr:uid="{00000000-0004-0000-0000-000018000000}"/>
    <hyperlink ref="N26" r:id="rId26" xr:uid="{00000000-0004-0000-0000-000019000000}"/>
    <hyperlink ref="N27" r:id="rId27" xr:uid="{00000000-0004-0000-0000-00001A000000}"/>
    <hyperlink ref="N28" r:id="rId28" xr:uid="{00000000-0004-0000-0000-00001B000000}"/>
    <hyperlink ref="N29" r:id="rId29" xr:uid="{00000000-0004-0000-0000-00001C000000}"/>
    <hyperlink ref="N37" r:id="rId30" xr:uid="{00000000-0004-0000-0000-00001D000000}"/>
    <hyperlink ref="N38" r:id="rId31" xr:uid="{00000000-0004-0000-0000-00001E000000}"/>
    <hyperlink ref="N41" r:id="rId32" xr:uid="{00000000-0004-0000-0000-00001F000000}"/>
    <hyperlink ref="N42" r:id="rId33" xr:uid="{00000000-0004-0000-0000-000020000000}"/>
    <hyperlink ref="N53" r:id="rId34" xr:uid="{00000000-0004-0000-0000-000021000000}"/>
    <hyperlink ref="N14" r:id="rId35" xr:uid="{00000000-0004-0000-0000-000022000000}"/>
    <hyperlink ref="N34" r:id="rId36" xr:uid="{00000000-0004-0000-0000-000023000000}"/>
    <hyperlink ref="N35" r:id="rId37" xr:uid="{00000000-0004-0000-0000-000024000000}"/>
    <hyperlink ref="N43" r:id="rId38" xr:uid="{00000000-0004-0000-0000-000025000000}"/>
    <hyperlink ref="N44" r:id="rId39" xr:uid="{00000000-0004-0000-0000-000026000000}"/>
    <hyperlink ref="N11" r:id="rId40" xr:uid="{00000000-0004-0000-0000-000027000000}"/>
    <hyperlink ref="N10" r:id="rId41" xr:uid="{00000000-0004-0000-0000-000028000000}"/>
    <hyperlink ref="N60" r:id="rId42" xr:uid="{00000000-0004-0000-0000-000029000000}"/>
    <hyperlink ref="N56" r:id="rId43" xr:uid="{00000000-0004-0000-0000-00002A000000}"/>
    <hyperlink ref="N59" r:id="rId44" xr:uid="{00000000-0004-0000-0000-00002B000000}"/>
    <hyperlink ref="N58" r:id="rId45" xr:uid="{00000000-0004-0000-0000-00002C000000}"/>
    <hyperlink ref="N19" r:id="rId46" xr:uid="{00000000-0004-0000-0000-00002D000000}"/>
    <hyperlink ref="N30" r:id="rId47" xr:uid="{00000000-0004-0000-0000-00002E000000}"/>
    <hyperlink ref="N40" r:id="rId48" xr:uid="{00000000-0004-0000-0000-00002F000000}"/>
    <hyperlink ref="G51" r:id="rId49" display="https://lcsc.com/brand-detail/11722.html" xr:uid="{00000000-0004-0000-0000-000030000000}"/>
    <hyperlink ref="N39" r:id="rId50" xr:uid="{00000000-0004-0000-0000-000031000000}"/>
    <hyperlink ref="N48" r:id="rId51" xr:uid="{00000000-0004-0000-0000-000032000000}"/>
    <hyperlink ref="N36" r:id="rId52" xr:uid="{00000000-0004-0000-0000-000033000000}"/>
    <hyperlink ref="N9" r:id="rId53" xr:uid="{00000000-0004-0000-0000-000034000000}"/>
    <hyperlink ref="N52" r:id="rId54" xr:uid="{00000000-0004-0000-0000-000035000000}"/>
    <hyperlink ref="N7" r:id="rId55" xr:uid="{00000000-0004-0000-0000-000036000000}"/>
    <hyperlink ref="N17" r:id="rId56" xr:uid="{00000000-0004-0000-0000-000037000000}"/>
  </hyperlinks>
  <pageMargins left="0.7" right="0.7" top="0.75" bottom="0.75" header="0.3" footer="0.3"/>
  <pageSetup orientation="portrait" r:id="rId57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93C577B-695B-4BE9-A4D2-BD6AA8A6912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Q55</xm:sqref>
        </x14:conditionalFormatting>
        <x14:conditionalFormatting xmlns:xm="http://schemas.microsoft.com/office/excel/2006/main">
          <x14:cfRule type="dataBar" id="{E93E5041-7595-4B70-A4DE-203BDFD4518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Q47</xm:sqref>
        </x14:conditionalFormatting>
        <x14:conditionalFormatting xmlns:xm="http://schemas.microsoft.com/office/excel/2006/main">
          <x14:cfRule type="dataBar" id="{301945FE-B701-4118-A9C3-5DA9DF52946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Q41</xm:sqref>
        </x14:conditionalFormatting>
        <x14:conditionalFormatting xmlns:xm="http://schemas.microsoft.com/office/excel/2006/main">
          <x14:cfRule type="dataBar" id="{C4FABE8D-C538-4F8C-AF3D-D761B694553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95C28DBC-1CBC-4CC5-8B31-E7020213734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0D7514C-12FE-4A4F-8D11-1841726592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N3:N5</xm:sqref>
        </x14:conditionalFormatting>
        <x14:conditionalFormatting xmlns:xm="http://schemas.microsoft.com/office/excel/2006/main">
          <x14:cfRule type="dataBar" id="{A402283A-49C9-49C3-9204-C80C4705AC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N45:N51</xm:sqref>
        </x14:conditionalFormatting>
        <x14:conditionalFormatting xmlns:xm="http://schemas.microsoft.com/office/excel/2006/main">
          <x14:cfRule type="dataBar" id="{F0B90621-6DA6-4516-A516-05C42ACBDF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N20:N22</xm:sqref>
        </x14:conditionalFormatting>
        <x14:conditionalFormatting xmlns:xm="http://schemas.microsoft.com/office/excel/2006/main">
          <x14:cfRule type="dataBar" id="{3534E561-107E-40A4-8165-E983FF420B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N31:N35</xm:sqref>
        </x14:conditionalFormatting>
        <x14:conditionalFormatting xmlns:xm="http://schemas.microsoft.com/office/excel/2006/main">
          <x14:cfRule type="dataBar" id="{7D9785A5-B7CB-4186-8A59-C6DD0A9D39F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Q51</xm:sqref>
        </x14:conditionalFormatting>
        <x14:conditionalFormatting xmlns:xm="http://schemas.microsoft.com/office/excel/2006/main">
          <x14:cfRule type="dataBar" id="{D04D7BD4-38E1-4065-946C-267B61C3BCE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Q54</xm:sqref>
        </x14:conditionalFormatting>
        <x14:conditionalFormatting xmlns:xm="http://schemas.microsoft.com/office/excel/2006/main">
          <x14:cfRule type="dataBar" id="{CC5A7198-6EFD-4BBD-B2B4-FEA92BA298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P3:P61</xm:sqref>
        </x14:conditionalFormatting>
        <x14:conditionalFormatting xmlns:xm="http://schemas.microsoft.com/office/excel/2006/main">
          <x14:cfRule type="dataBar" id="{23C19627-CC72-4F8E-BAD3-5ABFD29CE30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P63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A366D-C15B-4C93-B561-2EEC9658E635}">
  <dimension ref="A1:Q61"/>
  <sheetViews>
    <sheetView topLeftCell="B1" workbookViewId="0">
      <selection activeCell="F8" sqref="F8"/>
    </sheetView>
  </sheetViews>
  <sheetFormatPr defaultRowHeight="14.4" x14ac:dyDescent="0.3"/>
  <cols>
    <col min="1" max="1" width="6.33203125" bestFit="1" customWidth="1"/>
    <col min="2" max="2" width="21.109375" bestFit="1" customWidth="1"/>
    <col min="3" max="3" width="41.33203125" bestFit="1" customWidth="1"/>
    <col min="4" max="4" width="28.6640625" bestFit="1" customWidth="1"/>
    <col min="5" max="5" width="19.44140625" bestFit="1" customWidth="1"/>
    <col min="6" max="6" width="26.77734375" bestFit="1" customWidth="1"/>
    <col min="7" max="7" width="18.88671875" bestFit="1" customWidth="1"/>
    <col min="8" max="8" width="13.6640625" bestFit="1" customWidth="1"/>
    <col min="9" max="9" width="21.6640625" bestFit="1" customWidth="1"/>
    <col min="10" max="10" width="6.33203125" bestFit="1" customWidth="1"/>
    <col min="11" max="11" width="11.33203125" bestFit="1" customWidth="1"/>
    <col min="12" max="12" width="20.5546875" bestFit="1" customWidth="1"/>
    <col min="13" max="13" width="28.6640625" bestFit="1" customWidth="1"/>
    <col min="14" max="14" width="8.77734375" bestFit="1" customWidth="1"/>
    <col min="15" max="15" width="12.109375" bestFit="1" customWidth="1"/>
    <col min="16" max="16" width="12.88671875" bestFit="1" customWidth="1"/>
    <col min="17" max="17" width="46.77734375" bestFit="1" customWidth="1"/>
  </cols>
  <sheetData>
    <row r="1" spans="1:17" ht="16.2" thickBot="1" x14ac:dyDescent="0.35">
      <c r="A1" s="183" t="s">
        <v>370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</row>
    <row r="2" spans="1:17" ht="16.2" thickBot="1" x14ac:dyDescent="0.35">
      <c r="A2" s="88" t="s">
        <v>0</v>
      </c>
      <c r="B2" s="114" t="s">
        <v>1</v>
      </c>
      <c r="C2" s="115" t="s">
        <v>2</v>
      </c>
      <c r="D2" s="115" t="s">
        <v>3</v>
      </c>
      <c r="E2" s="115" t="s">
        <v>4</v>
      </c>
      <c r="F2" s="115" t="s">
        <v>5</v>
      </c>
      <c r="G2" s="115" t="s">
        <v>6</v>
      </c>
      <c r="H2" s="115" t="s">
        <v>7</v>
      </c>
      <c r="I2" s="115" t="s">
        <v>8</v>
      </c>
      <c r="J2" s="115" t="s">
        <v>9</v>
      </c>
      <c r="K2" s="115" t="s">
        <v>10</v>
      </c>
      <c r="L2" s="115" t="s">
        <v>11</v>
      </c>
      <c r="M2" s="115" t="s">
        <v>373</v>
      </c>
      <c r="N2" s="116" t="s">
        <v>343</v>
      </c>
      <c r="O2" s="112" t="s">
        <v>12</v>
      </c>
      <c r="P2" s="112" t="s">
        <v>13</v>
      </c>
      <c r="Q2" s="115" t="s">
        <v>14</v>
      </c>
    </row>
    <row r="3" spans="1:17" ht="15" thickBot="1" x14ac:dyDescent="0.35">
      <c r="A3" s="113">
        <v>1</v>
      </c>
      <c r="B3" s="192" t="s">
        <v>15</v>
      </c>
      <c r="C3" s="118" t="s">
        <v>16</v>
      </c>
      <c r="D3" s="2" t="s">
        <v>17</v>
      </c>
      <c r="E3" s="3" t="s">
        <v>18</v>
      </c>
      <c r="F3" s="2" t="s">
        <v>19</v>
      </c>
      <c r="G3" s="2" t="s">
        <v>20</v>
      </c>
      <c r="H3" s="169" t="s">
        <v>21</v>
      </c>
      <c r="I3" s="164" t="s">
        <v>371</v>
      </c>
      <c r="J3" s="3" t="s">
        <v>22</v>
      </c>
      <c r="K3" s="5">
        <v>100</v>
      </c>
      <c r="L3" s="4">
        <v>6</v>
      </c>
      <c r="M3" s="177">
        <f>L3*1.1*5</f>
        <v>33</v>
      </c>
      <c r="N3" s="6" t="s">
        <v>23</v>
      </c>
      <c r="O3" s="126">
        <v>1.9E-3</v>
      </c>
      <c r="P3" s="7">
        <f>O3*K3</f>
        <v>0.19</v>
      </c>
      <c r="Q3" s="8"/>
    </row>
    <row r="4" spans="1:17" ht="15" thickBot="1" x14ac:dyDescent="0.35">
      <c r="A4" s="113">
        <v>2</v>
      </c>
      <c r="B4" s="193"/>
      <c r="C4" s="117" t="s">
        <v>24</v>
      </c>
      <c r="D4" s="11" t="s">
        <v>25</v>
      </c>
      <c r="E4" s="12" t="s">
        <v>26</v>
      </c>
      <c r="F4" s="179" t="s">
        <v>27</v>
      </c>
      <c r="G4" s="18" t="s">
        <v>20</v>
      </c>
      <c r="H4" s="154" t="s">
        <v>28</v>
      </c>
      <c r="I4" s="154" t="s">
        <v>29</v>
      </c>
      <c r="J4" s="12" t="s">
        <v>30</v>
      </c>
      <c r="K4" s="14">
        <v>30</v>
      </c>
      <c r="L4" s="13">
        <v>6</v>
      </c>
      <c r="M4" s="177">
        <f>L4*1.1*5</f>
        <v>33</v>
      </c>
      <c r="N4" s="15" t="s">
        <v>23</v>
      </c>
      <c r="O4" s="127">
        <v>0.4743</v>
      </c>
      <c r="P4" s="7">
        <f>O4*K4</f>
        <v>14.228999999999999</v>
      </c>
      <c r="Q4" s="17"/>
    </row>
    <row r="5" spans="1:17" ht="15" thickBot="1" x14ac:dyDescent="0.35">
      <c r="A5" s="113">
        <v>3</v>
      </c>
      <c r="B5" s="193"/>
      <c r="C5" s="117" t="s">
        <v>31</v>
      </c>
      <c r="D5" s="18" t="s">
        <v>32</v>
      </c>
      <c r="E5" s="12" t="s">
        <v>26</v>
      </c>
      <c r="F5" s="179" t="s">
        <v>33</v>
      </c>
      <c r="G5" s="18" t="s">
        <v>20</v>
      </c>
      <c r="H5" s="154" t="s">
        <v>34</v>
      </c>
      <c r="I5" s="155" t="s">
        <v>35</v>
      </c>
      <c r="J5" s="12" t="s">
        <v>36</v>
      </c>
      <c r="K5" s="14">
        <v>30</v>
      </c>
      <c r="L5" s="13">
        <v>5</v>
      </c>
      <c r="M5" s="177">
        <f t="shared" ref="M5:M61" si="0">L5*1.1*5</f>
        <v>27.5</v>
      </c>
      <c r="N5" s="15" t="s">
        <v>23</v>
      </c>
      <c r="O5" s="127">
        <v>0.10920000000000001</v>
      </c>
      <c r="P5" s="7">
        <f t="shared" ref="P5:P61" si="1">O5*K5</f>
        <v>3.2760000000000002</v>
      </c>
      <c r="Q5" s="17"/>
    </row>
    <row r="6" spans="1:17" ht="15" thickBot="1" x14ac:dyDescent="0.35">
      <c r="A6" s="113">
        <v>4</v>
      </c>
      <c r="B6" s="193"/>
      <c r="C6" s="117" t="s">
        <v>37</v>
      </c>
      <c r="D6" s="18" t="s">
        <v>38</v>
      </c>
      <c r="E6" s="12" t="s">
        <v>26</v>
      </c>
      <c r="F6" s="179" t="s">
        <v>39</v>
      </c>
      <c r="G6" s="18" t="s">
        <v>40</v>
      </c>
      <c r="H6" s="154" t="s">
        <v>41</v>
      </c>
      <c r="I6" s="155" t="s">
        <v>42</v>
      </c>
      <c r="J6" s="12" t="s">
        <v>43</v>
      </c>
      <c r="K6" s="14">
        <v>20</v>
      </c>
      <c r="L6" s="13">
        <v>2</v>
      </c>
      <c r="M6" s="177">
        <f t="shared" si="0"/>
        <v>11</v>
      </c>
      <c r="N6" s="20" t="s">
        <v>23</v>
      </c>
      <c r="O6" s="139">
        <v>2.8199999999999999E-2</v>
      </c>
      <c r="P6" s="7">
        <f t="shared" si="1"/>
        <v>0.56399999999999995</v>
      </c>
      <c r="Q6" s="17"/>
    </row>
    <row r="7" spans="1:17" ht="15" thickBot="1" x14ac:dyDescent="0.35">
      <c r="A7" s="113">
        <v>5</v>
      </c>
      <c r="B7" s="193"/>
      <c r="C7" s="153" t="s">
        <v>355</v>
      </c>
      <c r="D7" s="11" t="s">
        <v>44</v>
      </c>
      <c r="E7" s="18" t="s">
        <v>18</v>
      </c>
      <c r="F7" s="179" t="s">
        <v>45</v>
      </c>
      <c r="G7" s="18" t="s">
        <v>46</v>
      </c>
      <c r="H7" s="154" t="s">
        <v>367</v>
      </c>
      <c r="I7" s="155" t="s">
        <v>365</v>
      </c>
      <c r="J7" s="18" t="s">
        <v>47</v>
      </c>
      <c r="K7" s="156">
        <v>50</v>
      </c>
      <c r="L7" s="90">
        <v>7</v>
      </c>
      <c r="M7" s="177">
        <f t="shared" si="0"/>
        <v>38.500000000000007</v>
      </c>
      <c r="N7" s="20" t="s">
        <v>23</v>
      </c>
      <c r="O7" s="157">
        <v>1.54E-2</v>
      </c>
      <c r="P7" s="7">
        <f t="shared" si="1"/>
        <v>0.77</v>
      </c>
      <c r="Q7" s="53" t="s">
        <v>366</v>
      </c>
    </row>
    <row r="8" spans="1:17" ht="15" thickBot="1" x14ac:dyDescent="0.35">
      <c r="A8" s="113">
        <v>6</v>
      </c>
      <c r="B8" s="193"/>
      <c r="C8" s="117" t="s">
        <v>48</v>
      </c>
      <c r="D8" s="18" t="s">
        <v>49</v>
      </c>
      <c r="E8" s="12" t="s">
        <v>26</v>
      </c>
      <c r="F8" s="179" t="s">
        <v>50</v>
      </c>
      <c r="G8" s="18" t="s">
        <v>20</v>
      </c>
      <c r="H8" s="154" t="s">
        <v>51</v>
      </c>
      <c r="I8" s="155" t="s">
        <v>52</v>
      </c>
      <c r="J8" s="12" t="s">
        <v>53</v>
      </c>
      <c r="K8" s="14">
        <v>5</v>
      </c>
      <c r="L8" s="13">
        <v>1</v>
      </c>
      <c r="M8" s="177">
        <f t="shared" si="0"/>
        <v>5.5</v>
      </c>
      <c r="N8" s="20" t="s">
        <v>23</v>
      </c>
      <c r="O8" s="127">
        <v>0.2591</v>
      </c>
      <c r="P8" s="7">
        <f t="shared" si="1"/>
        <v>1.2955000000000001</v>
      </c>
      <c r="Q8" s="17"/>
    </row>
    <row r="9" spans="1:17" ht="15" thickBot="1" x14ac:dyDescent="0.35">
      <c r="A9" s="113">
        <v>7</v>
      </c>
      <c r="B9" s="193"/>
      <c r="C9" s="117" t="s">
        <v>54</v>
      </c>
      <c r="D9" s="18" t="s">
        <v>55</v>
      </c>
      <c r="E9" s="12" t="s">
        <v>56</v>
      </c>
      <c r="F9" s="179" t="s">
        <v>57</v>
      </c>
      <c r="G9" s="18" t="s">
        <v>58</v>
      </c>
      <c r="H9" s="154" t="s">
        <v>359</v>
      </c>
      <c r="I9" s="154" t="s">
        <v>358</v>
      </c>
      <c r="J9" s="12" t="s">
        <v>59</v>
      </c>
      <c r="K9" s="14">
        <v>10</v>
      </c>
      <c r="L9" s="13">
        <v>2</v>
      </c>
      <c r="M9" s="177">
        <f t="shared" si="0"/>
        <v>11</v>
      </c>
      <c r="N9" s="140" t="s">
        <v>23</v>
      </c>
      <c r="O9" s="128">
        <v>0.1777</v>
      </c>
      <c r="P9" s="7">
        <f t="shared" si="1"/>
        <v>1.7769999999999999</v>
      </c>
      <c r="Q9" s="17"/>
    </row>
    <row r="10" spans="1:17" ht="15" thickBot="1" x14ac:dyDescent="0.35">
      <c r="A10" s="113">
        <v>8</v>
      </c>
      <c r="B10" s="193"/>
      <c r="C10" s="150" t="s">
        <v>60</v>
      </c>
      <c r="D10" s="92" t="s">
        <v>61</v>
      </c>
      <c r="E10" s="41" t="s">
        <v>62</v>
      </c>
      <c r="F10" s="155" t="s">
        <v>65</v>
      </c>
      <c r="G10" s="18" t="s">
        <v>63</v>
      </c>
      <c r="H10" s="154" t="s">
        <v>64</v>
      </c>
      <c r="I10" s="178" t="s">
        <v>371</v>
      </c>
      <c r="J10" s="41" t="s">
        <v>66</v>
      </c>
      <c r="K10" s="51">
        <v>15</v>
      </c>
      <c r="L10" s="50">
        <v>3</v>
      </c>
      <c r="M10" s="177">
        <f t="shared" si="0"/>
        <v>16.5</v>
      </c>
      <c r="N10" s="151" t="s">
        <v>23</v>
      </c>
      <c r="O10" s="132">
        <v>0.49769999999999998</v>
      </c>
      <c r="P10" s="7">
        <f t="shared" si="1"/>
        <v>7.4654999999999996</v>
      </c>
      <c r="Q10" s="152"/>
    </row>
    <row r="11" spans="1:17" ht="15" thickBot="1" x14ac:dyDescent="0.35">
      <c r="A11" s="113">
        <v>9</v>
      </c>
      <c r="B11" s="193"/>
      <c r="C11" s="150" t="s">
        <v>67</v>
      </c>
      <c r="D11" s="41" t="s">
        <v>68</v>
      </c>
      <c r="E11" s="41" t="s">
        <v>62</v>
      </c>
      <c r="F11" s="155" t="s">
        <v>70</v>
      </c>
      <c r="G11" s="18" t="s">
        <v>63</v>
      </c>
      <c r="H11" s="154" t="s">
        <v>69</v>
      </c>
      <c r="I11" s="178" t="s">
        <v>371</v>
      </c>
      <c r="J11" s="41" t="s">
        <v>59</v>
      </c>
      <c r="K11" s="51">
        <v>5</v>
      </c>
      <c r="L11" s="50">
        <v>1</v>
      </c>
      <c r="M11" s="177">
        <f t="shared" si="0"/>
        <v>5.5</v>
      </c>
      <c r="N11" s="151" t="s">
        <v>23</v>
      </c>
      <c r="O11" s="132">
        <v>8.1000000000000003E-2</v>
      </c>
      <c r="P11" s="7">
        <f t="shared" si="1"/>
        <v>0.40500000000000003</v>
      </c>
      <c r="Q11" s="152"/>
    </row>
    <row r="12" spans="1:17" ht="15" thickBot="1" x14ac:dyDescent="0.35">
      <c r="A12" s="113">
        <v>10</v>
      </c>
      <c r="B12" s="194"/>
      <c r="C12" s="119" t="s">
        <v>71</v>
      </c>
      <c r="D12" s="23" t="s">
        <v>72</v>
      </c>
      <c r="E12" s="24" t="s">
        <v>18</v>
      </c>
      <c r="F12" s="155" t="s">
        <v>73</v>
      </c>
      <c r="G12" s="18" t="s">
        <v>58</v>
      </c>
      <c r="H12" s="154" t="s">
        <v>74</v>
      </c>
      <c r="I12" s="155" t="s">
        <v>75</v>
      </c>
      <c r="J12" s="24" t="s">
        <v>76</v>
      </c>
      <c r="K12" s="27">
        <v>100</v>
      </c>
      <c r="L12" s="25">
        <v>3</v>
      </c>
      <c r="M12" s="177">
        <f t="shared" si="0"/>
        <v>16.5</v>
      </c>
      <c r="N12" s="28" t="s">
        <v>23</v>
      </c>
      <c r="O12" s="131">
        <v>3.0999999999999999E-3</v>
      </c>
      <c r="P12" s="7">
        <f t="shared" si="1"/>
        <v>0.31</v>
      </c>
      <c r="Q12" s="30"/>
    </row>
    <row r="13" spans="1:17" ht="15" thickBot="1" x14ac:dyDescent="0.35">
      <c r="A13" s="113">
        <v>11</v>
      </c>
      <c r="B13" s="186" t="s">
        <v>77</v>
      </c>
      <c r="C13" s="1" t="s">
        <v>78</v>
      </c>
      <c r="D13" s="31" t="s">
        <v>79</v>
      </c>
      <c r="E13" s="3" t="s">
        <v>80</v>
      </c>
      <c r="F13" s="2" t="s">
        <v>81</v>
      </c>
      <c r="G13" s="2" t="s">
        <v>82</v>
      </c>
      <c r="H13" s="169" t="s">
        <v>83</v>
      </c>
      <c r="I13" s="165" t="s">
        <v>84</v>
      </c>
      <c r="J13" s="3" t="s">
        <v>85</v>
      </c>
      <c r="K13" s="5">
        <v>20</v>
      </c>
      <c r="L13" s="4">
        <v>4</v>
      </c>
      <c r="M13" s="177">
        <f t="shared" si="0"/>
        <v>22</v>
      </c>
      <c r="N13" s="104" t="s">
        <v>23</v>
      </c>
      <c r="O13" s="126">
        <v>3.0800000000000001E-2</v>
      </c>
      <c r="P13" s="7">
        <f t="shared" si="1"/>
        <v>0.61599999999999999</v>
      </c>
      <c r="Q13" s="33"/>
    </row>
    <row r="14" spans="1:17" ht="15" thickBot="1" x14ac:dyDescent="0.35">
      <c r="A14" s="113">
        <v>12</v>
      </c>
      <c r="B14" s="185"/>
      <c r="C14" s="10" t="s">
        <v>86</v>
      </c>
      <c r="D14" s="12" t="s">
        <v>87</v>
      </c>
      <c r="E14" s="12" t="s">
        <v>88</v>
      </c>
      <c r="F14" s="18" t="s">
        <v>89</v>
      </c>
      <c r="G14" s="18" t="s">
        <v>90</v>
      </c>
      <c r="H14" s="154" t="s">
        <v>91</v>
      </c>
      <c r="I14" s="155" t="s">
        <v>92</v>
      </c>
      <c r="J14" s="12" t="s">
        <v>85</v>
      </c>
      <c r="K14" s="14">
        <v>10</v>
      </c>
      <c r="L14" s="13">
        <v>2</v>
      </c>
      <c r="M14" s="177">
        <f t="shared" si="0"/>
        <v>11</v>
      </c>
      <c r="N14" s="101" t="s">
        <v>23</v>
      </c>
      <c r="O14" s="127">
        <v>6.2199999999999998E-2</v>
      </c>
      <c r="P14" s="7">
        <f t="shared" si="1"/>
        <v>0.622</v>
      </c>
      <c r="Q14" s="17"/>
    </row>
    <row r="15" spans="1:17" ht="15" thickBot="1" x14ac:dyDescent="0.35">
      <c r="A15" s="113">
        <v>13</v>
      </c>
      <c r="B15" s="187"/>
      <c r="C15" s="22" t="s">
        <v>93</v>
      </c>
      <c r="D15" s="24" t="s">
        <v>94</v>
      </c>
      <c r="E15" s="24" t="s">
        <v>95</v>
      </c>
      <c r="F15" s="23" t="s">
        <v>96</v>
      </c>
      <c r="G15" s="23" t="s">
        <v>97</v>
      </c>
      <c r="H15" s="162" t="s">
        <v>98</v>
      </c>
      <c r="I15" s="163" t="s">
        <v>85</v>
      </c>
      <c r="J15" s="24" t="s">
        <v>85</v>
      </c>
      <c r="K15" s="27">
        <v>10</v>
      </c>
      <c r="L15" s="25">
        <v>1</v>
      </c>
      <c r="M15" s="177">
        <f t="shared" si="0"/>
        <v>5.5</v>
      </c>
      <c r="N15" s="103" t="s">
        <v>23</v>
      </c>
      <c r="O15" s="131">
        <v>4.1799999999999997E-2</v>
      </c>
      <c r="P15" s="7">
        <f t="shared" si="1"/>
        <v>0.41799999999999998</v>
      </c>
      <c r="Q15" s="30"/>
    </row>
    <row r="16" spans="1:17" ht="15" thickBot="1" x14ac:dyDescent="0.35">
      <c r="A16" s="113">
        <v>14</v>
      </c>
      <c r="B16" s="186" t="s">
        <v>99</v>
      </c>
      <c r="C16" s="180" t="s">
        <v>100</v>
      </c>
      <c r="D16" s="36" t="s">
        <v>101</v>
      </c>
      <c r="E16" s="36" t="s">
        <v>62</v>
      </c>
      <c r="F16" s="31" t="s">
        <v>102</v>
      </c>
      <c r="G16" s="31" t="s">
        <v>103</v>
      </c>
      <c r="H16" s="164" t="s">
        <v>104</v>
      </c>
      <c r="I16" s="165" t="s">
        <v>105</v>
      </c>
      <c r="J16" s="36" t="s">
        <v>106</v>
      </c>
      <c r="K16" s="5">
        <v>5</v>
      </c>
      <c r="L16" s="37">
        <v>1</v>
      </c>
      <c r="M16" s="177">
        <f t="shared" si="0"/>
        <v>5.5</v>
      </c>
      <c r="N16" s="104" t="s">
        <v>23</v>
      </c>
      <c r="O16" s="126">
        <v>0.3679</v>
      </c>
      <c r="P16" s="7">
        <f t="shared" si="1"/>
        <v>1.8395000000000001</v>
      </c>
      <c r="Q16" s="38"/>
    </row>
    <row r="17" spans="1:17" ht="15" thickBot="1" x14ac:dyDescent="0.35">
      <c r="A17" s="113">
        <v>15</v>
      </c>
      <c r="B17" s="187"/>
      <c r="C17" s="181" t="s">
        <v>107</v>
      </c>
      <c r="D17" s="40" t="s">
        <v>108</v>
      </c>
      <c r="E17" s="40" t="s">
        <v>62</v>
      </c>
      <c r="F17" s="40" t="s">
        <v>109</v>
      </c>
      <c r="G17" s="40" t="s">
        <v>20</v>
      </c>
      <c r="H17" s="23" t="s">
        <v>105</v>
      </c>
      <c r="I17" s="161" t="s">
        <v>290</v>
      </c>
      <c r="J17" s="40" t="s">
        <v>110</v>
      </c>
      <c r="K17" s="160">
        <v>75</v>
      </c>
      <c r="L17" s="98">
        <v>1</v>
      </c>
      <c r="M17" s="177">
        <f t="shared" si="0"/>
        <v>5.5</v>
      </c>
      <c r="N17" s="104" t="s">
        <v>368</v>
      </c>
      <c r="O17" s="158">
        <v>0.20810999999999999</v>
      </c>
      <c r="P17" s="7">
        <f t="shared" si="1"/>
        <v>15.60825</v>
      </c>
      <c r="Q17" s="159"/>
    </row>
    <row r="18" spans="1:17" ht="15" thickBot="1" x14ac:dyDescent="0.35">
      <c r="A18" s="113">
        <v>16</v>
      </c>
      <c r="B18" s="186" t="s">
        <v>112</v>
      </c>
      <c r="C18" s="1" t="s">
        <v>113</v>
      </c>
      <c r="D18" s="31" t="s">
        <v>114</v>
      </c>
      <c r="E18" s="3" t="s">
        <v>115</v>
      </c>
      <c r="F18" s="2" t="s">
        <v>116</v>
      </c>
      <c r="G18" s="2" t="s">
        <v>97</v>
      </c>
      <c r="H18" s="164" t="s">
        <v>117</v>
      </c>
      <c r="I18" s="170"/>
      <c r="J18" s="3" t="s">
        <v>85</v>
      </c>
      <c r="K18" s="5">
        <v>15</v>
      </c>
      <c r="L18" s="4">
        <v>3</v>
      </c>
      <c r="M18" s="177">
        <f t="shared" si="0"/>
        <v>16.5</v>
      </c>
      <c r="N18" s="104" t="s">
        <v>23</v>
      </c>
      <c r="O18" s="126">
        <v>0.13919999999999999</v>
      </c>
      <c r="P18" s="7">
        <f t="shared" si="1"/>
        <v>2.0880000000000001</v>
      </c>
      <c r="Q18" s="33"/>
    </row>
    <row r="19" spans="1:17" ht="15" thickBot="1" x14ac:dyDescent="0.35">
      <c r="A19" s="113">
        <v>17</v>
      </c>
      <c r="B19" s="187"/>
      <c r="C19" s="22" t="s">
        <v>118</v>
      </c>
      <c r="D19" s="40" t="s">
        <v>119</v>
      </c>
      <c r="E19" s="24" t="s">
        <v>120</v>
      </c>
      <c r="F19" s="23" t="s">
        <v>121</v>
      </c>
      <c r="G19" s="23" t="s">
        <v>122</v>
      </c>
      <c r="H19" s="160" t="s">
        <v>345</v>
      </c>
      <c r="I19" s="162" t="s">
        <v>344</v>
      </c>
      <c r="J19" s="24" t="s">
        <v>123</v>
      </c>
      <c r="K19" s="27">
        <v>10</v>
      </c>
      <c r="L19" s="25">
        <v>2</v>
      </c>
      <c r="M19" s="177">
        <f t="shared" si="0"/>
        <v>11</v>
      </c>
      <c r="N19" s="103" t="s">
        <v>23</v>
      </c>
      <c r="O19" s="131">
        <v>9.3799999999999994E-2</v>
      </c>
      <c r="P19" s="7">
        <f t="shared" si="1"/>
        <v>0.93799999999999994</v>
      </c>
      <c r="Q19" s="30"/>
    </row>
    <row r="20" spans="1:17" ht="15" thickBot="1" x14ac:dyDescent="0.35">
      <c r="A20" s="113">
        <v>18</v>
      </c>
      <c r="B20" s="186" t="s">
        <v>124</v>
      </c>
      <c r="C20" s="1" t="s">
        <v>125</v>
      </c>
      <c r="D20" s="2" t="s">
        <v>126</v>
      </c>
      <c r="E20" s="3" t="s">
        <v>127</v>
      </c>
      <c r="F20" s="2" t="s">
        <v>128</v>
      </c>
      <c r="G20" s="2" t="s">
        <v>129</v>
      </c>
      <c r="H20" s="169" t="s">
        <v>130</v>
      </c>
      <c r="I20" s="164" t="s">
        <v>131</v>
      </c>
      <c r="J20" s="3" t="s">
        <v>132</v>
      </c>
      <c r="K20" s="5">
        <v>20</v>
      </c>
      <c r="L20" s="4">
        <v>3</v>
      </c>
      <c r="M20" s="177">
        <f t="shared" si="0"/>
        <v>16.5</v>
      </c>
      <c r="N20" s="99" t="s">
        <v>23</v>
      </c>
      <c r="O20" s="126">
        <v>4.7899999999999998E-2</v>
      </c>
      <c r="P20" s="7">
        <f t="shared" si="1"/>
        <v>0.95799999999999996</v>
      </c>
      <c r="Q20" s="8"/>
    </row>
    <row r="21" spans="1:17" ht="15" thickBot="1" x14ac:dyDescent="0.35">
      <c r="A21" s="113">
        <v>19</v>
      </c>
      <c r="B21" s="185"/>
      <c r="C21" s="10" t="s">
        <v>133</v>
      </c>
      <c r="D21" s="18" t="s">
        <v>134</v>
      </c>
      <c r="E21" s="12" t="s">
        <v>127</v>
      </c>
      <c r="F21" s="18" t="s">
        <v>135</v>
      </c>
      <c r="G21" s="18" t="s">
        <v>129</v>
      </c>
      <c r="H21" s="154" t="s">
        <v>136</v>
      </c>
      <c r="I21" s="154" t="s">
        <v>137</v>
      </c>
      <c r="J21" s="12" t="s">
        <v>138</v>
      </c>
      <c r="K21" s="14">
        <v>50</v>
      </c>
      <c r="L21" s="13">
        <v>4</v>
      </c>
      <c r="M21" s="177">
        <f t="shared" si="0"/>
        <v>22</v>
      </c>
      <c r="N21" s="100" t="s">
        <v>23</v>
      </c>
      <c r="O21" s="127">
        <v>4.4000000000000003E-3</v>
      </c>
      <c r="P21" s="7">
        <f t="shared" si="1"/>
        <v>0.22</v>
      </c>
      <c r="Q21" s="17" t="s">
        <v>349</v>
      </c>
    </row>
    <row r="22" spans="1:17" ht="15" thickBot="1" x14ac:dyDescent="0.35">
      <c r="A22" s="113">
        <v>20</v>
      </c>
      <c r="B22" s="185"/>
      <c r="C22" s="166" t="s">
        <v>139</v>
      </c>
      <c r="D22" s="18" t="s">
        <v>140</v>
      </c>
      <c r="E22" s="18" t="s">
        <v>127</v>
      </c>
      <c r="F22" s="18" t="s">
        <v>141</v>
      </c>
      <c r="G22" s="18" t="s">
        <v>129</v>
      </c>
      <c r="H22" s="154" t="s">
        <v>142</v>
      </c>
      <c r="I22" s="171" t="s">
        <v>143</v>
      </c>
      <c r="J22" s="18" t="s">
        <v>144</v>
      </c>
      <c r="K22" s="156">
        <v>100</v>
      </c>
      <c r="L22" s="90">
        <v>3</v>
      </c>
      <c r="M22" s="177">
        <f t="shared" si="0"/>
        <v>16.5</v>
      </c>
      <c r="N22" s="167" t="s">
        <v>23</v>
      </c>
      <c r="O22" s="157">
        <v>1E-3</v>
      </c>
      <c r="P22" s="7">
        <f t="shared" si="1"/>
        <v>0.1</v>
      </c>
      <c r="Q22" s="168" t="s">
        <v>346</v>
      </c>
    </row>
    <row r="23" spans="1:17" ht="15" thickBot="1" x14ac:dyDescent="0.35">
      <c r="A23" s="113">
        <v>21</v>
      </c>
      <c r="B23" s="185"/>
      <c r="C23" s="10" t="s">
        <v>145</v>
      </c>
      <c r="D23" s="41" t="s">
        <v>146</v>
      </c>
      <c r="E23" s="12" t="s">
        <v>127</v>
      </c>
      <c r="F23" s="18" t="s">
        <v>147</v>
      </c>
      <c r="G23" s="18" t="s">
        <v>129</v>
      </c>
      <c r="H23" s="154" t="s">
        <v>148</v>
      </c>
      <c r="I23" s="18" t="s">
        <v>149</v>
      </c>
      <c r="J23" s="12" t="s">
        <v>150</v>
      </c>
      <c r="K23" s="14">
        <v>50</v>
      </c>
      <c r="L23" s="42">
        <v>1</v>
      </c>
      <c r="M23" s="177">
        <f t="shared" si="0"/>
        <v>5.5</v>
      </c>
      <c r="N23" s="101" t="s">
        <v>23</v>
      </c>
      <c r="O23" s="127">
        <v>1.2999999999999999E-3</v>
      </c>
      <c r="P23" s="7">
        <f t="shared" si="1"/>
        <v>6.5000000000000002E-2</v>
      </c>
      <c r="Q23" s="17" t="s">
        <v>346</v>
      </c>
    </row>
    <row r="24" spans="1:17" ht="15" thickBot="1" x14ac:dyDescent="0.35">
      <c r="A24" s="113">
        <v>22</v>
      </c>
      <c r="B24" s="185"/>
      <c r="C24" s="10" t="s">
        <v>151</v>
      </c>
      <c r="D24" s="41" t="s">
        <v>152</v>
      </c>
      <c r="E24" s="12" t="s">
        <v>127</v>
      </c>
      <c r="F24" s="18" t="s">
        <v>153</v>
      </c>
      <c r="G24" s="18" t="s">
        <v>129</v>
      </c>
      <c r="H24" s="154" t="s">
        <v>154</v>
      </c>
      <c r="I24" s="18" t="s">
        <v>155</v>
      </c>
      <c r="J24" s="12" t="s">
        <v>156</v>
      </c>
      <c r="K24" s="12">
        <v>100</v>
      </c>
      <c r="L24" s="42">
        <v>1</v>
      </c>
      <c r="M24" s="177">
        <f t="shared" si="0"/>
        <v>5.5</v>
      </c>
      <c r="N24" s="101" t="s">
        <v>23</v>
      </c>
      <c r="O24" s="127">
        <v>8.0000000000000004E-4</v>
      </c>
      <c r="P24" s="7">
        <f t="shared" si="1"/>
        <v>0.08</v>
      </c>
      <c r="Q24" s="17" t="s">
        <v>346</v>
      </c>
    </row>
    <row r="25" spans="1:17" ht="15" thickBot="1" x14ac:dyDescent="0.35">
      <c r="A25" s="113">
        <v>23</v>
      </c>
      <c r="B25" s="185"/>
      <c r="C25" s="141" t="s">
        <v>157</v>
      </c>
      <c r="D25" s="89" t="s">
        <v>158</v>
      </c>
      <c r="E25" s="89" t="s">
        <v>159</v>
      </c>
      <c r="F25" s="89" t="s">
        <v>160</v>
      </c>
      <c r="G25" s="89" t="s">
        <v>161</v>
      </c>
      <c r="H25" s="90" t="s">
        <v>162</v>
      </c>
      <c r="I25" s="89" t="s">
        <v>163</v>
      </c>
      <c r="J25" s="89" t="s">
        <v>164</v>
      </c>
      <c r="K25" s="89">
        <v>50</v>
      </c>
      <c r="L25" s="142">
        <v>1</v>
      </c>
      <c r="M25" s="177">
        <f t="shared" si="0"/>
        <v>5.5</v>
      </c>
      <c r="N25" s="102" t="s">
        <v>23</v>
      </c>
      <c r="O25" s="129">
        <v>1.83E-2</v>
      </c>
      <c r="P25" s="7">
        <f t="shared" si="1"/>
        <v>0.91500000000000004</v>
      </c>
      <c r="Q25" s="80" t="s">
        <v>369</v>
      </c>
    </row>
    <row r="26" spans="1:17" ht="15" thickBot="1" x14ac:dyDescent="0.35">
      <c r="A26" s="113">
        <v>24</v>
      </c>
      <c r="B26" s="185"/>
      <c r="C26" s="10" t="s">
        <v>165</v>
      </c>
      <c r="D26" s="41" t="s">
        <v>166</v>
      </c>
      <c r="E26" s="12" t="s">
        <v>127</v>
      </c>
      <c r="F26" s="18" t="s">
        <v>167</v>
      </c>
      <c r="G26" s="18" t="s">
        <v>168</v>
      </c>
      <c r="H26" s="154" t="s">
        <v>169</v>
      </c>
      <c r="I26" s="18" t="s">
        <v>170</v>
      </c>
      <c r="J26" s="12" t="s">
        <v>171</v>
      </c>
      <c r="K26" s="12">
        <v>100</v>
      </c>
      <c r="L26" s="42">
        <v>1</v>
      </c>
      <c r="M26" s="177">
        <f t="shared" si="0"/>
        <v>5.5</v>
      </c>
      <c r="N26" s="101" t="s">
        <v>23</v>
      </c>
      <c r="O26" s="127">
        <v>8.9999999999999998E-4</v>
      </c>
      <c r="P26" s="7">
        <f t="shared" si="1"/>
        <v>0.09</v>
      </c>
      <c r="Q26" s="17" t="s">
        <v>346</v>
      </c>
    </row>
    <row r="27" spans="1:17" ht="15" thickBot="1" x14ac:dyDescent="0.35">
      <c r="A27" s="113">
        <v>25</v>
      </c>
      <c r="B27" s="185"/>
      <c r="C27" s="10" t="s">
        <v>172</v>
      </c>
      <c r="D27" s="41" t="s">
        <v>173</v>
      </c>
      <c r="E27" s="12" t="s">
        <v>127</v>
      </c>
      <c r="F27" s="18" t="s">
        <v>174</v>
      </c>
      <c r="G27" s="18" t="s">
        <v>168</v>
      </c>
      <c r="H27" s="154" t="s">
        <v>175</v>
      </c>
      <c r="I27" s="18" t="s">
        <v>176</v>
      </c>
      <c r="J27" s="12" t="s">
        <v>177</v>
      </c>
      <c r="K27" s="12">
        <v>100</v>
      </c>
      <c r="L27" s="42">
        <v>1</v>
      </c>
      <c r="M27" s="177">
        <f t="shared" si="0"/>
        <v>5.5</v>
      </c>
      <c r="N27" s="101" t="s">
        <v>23</v>
      </c>
      <c r="O27" s="127">
        <v>8.0000000000000004E-4</v>
      </c>
      <c r="P27" s="7">
        <f t="shared" si="1"/>
        <v>0.08</v>
      </c>
      <c r="Q27" s="17" t="s">
        <v>346</v>
      </c>
    </row>
    <row r="28" spans="1:17" ht="15" thickBot="1" x14ac:dyDescent="0.35">
      <c r="A28" s="113">
        <v>26</v>
      </c>
      <c r="B28" s="185"/>
      <c r="C28" s="10" t="s">
        <v>178</v>
      </c>
      <c r="D28" s="41" t="s">
        <v>179</v>
      </c>
      <c r="E28" s="12" t="s">
        <v>127</v>
      </c>
      <c r="F28" s="18" t="s">
        <v>180</v>
      </c>
      <c r="G28" s="18" t="s">
        <v>168</v>
      </c>
      <c r="H28" s="154" t="s">
        <v>181</v>
      </c>
      <c r="I28" s="18" t="s">
        <v>182</v>
      </c>
      <c r="J28" s="12" t="s">
        <v>183</v>
      </c>
      <c r="K28" s="12">
        <v>100</v>
      </c>
      <c r="L28" s="42">
        <v>4</v>
      </c>
      <c r="M28" s="177">
        <f t="shared" si="0"/>
        <v>22</v>
      </c>
      <c r="N28" s="101" t="s">
        <v>23</v>
      </c>
      <c r="O28" s="127">
        <v>8.0000000000000004E-4</v>
      </c>
      <c r="P28" s="7">
        <f t="shared" si="1"/>
        <v>0.08</v>
      </c>
      <c r="Q28" s="17" t="s">
        <v>346</v>
      </c>
    </row>
    <row r="29" spans="1:17" ht="28.2" thickBot="1" x14ac:dyDescent="0.35">
      <c r="A29" s="113">
        <v>27</v>
      </c>
      <c r="B29" s="185"/>
      <c r="C29" s="43" t="s">
        <v>184</v>
      </c>
      <c r="D29" s="11" t="s">
        <v>185</v>
      </c>
      <c r="E29" s="12" t="s">
        <v>127</v>
      </c>
      <c r="F29" s="18" t="s">
        <v>186</v>
      </c>
      <c r="G29" s="18" t="s">
        <v>187</v>
      </c>
      <c r="H29" s="154" t="s">
        <v>188</v>
      </c>
      <c r="I29" s="18" t="s">
        <v>189</v>
      </c>
      <c r="J29" s="12" t="s">
        <v>190</v>
      </c>
      <c r="K29" s="12">
        <v>100</v>
      </c>
      <c r="L29" s="42">
        <v>9</v>
      </c>
      <c r="M29" s="177">
        <f t="shared" si="0"/>
        <v>49.5</v>
      </c>
      <c r="N29" s="101" t="s">
        <v>23</v>
      </c>
      <c r="O29" s="127">
        <v>6.9999999999999999E-4</v>
      </c>
      <c r="P29" s="7">
        <f t="shared" si="1"/>
        <v>6.9999999999999993E-2</v>
      </c>
      <c r="Q29" s="17" t="s">
        <v>346</v>
      </c>
    </row>
    <row r="30" spans="1:17" ht="15" thickBot="1" x14ac:dyDescent="0.35">
      <c r="A30" s="113">
        <v>28</v>
      </c>
      <c r="B30" s="185"/>
      <c r="C30" s="10" t="s">
        <v>191</v>
      </c>
      <c r="D30" s="41" t="s">
        <v>192</v>
      </c>
      <c r="E30" s="12" t="s">
        <v>127</v>
      </c>
      <c r="F30" s="18" t="s">
        <v>193</v>
      </c>
      <c r="G30" s="18" t="s">
        <v>129</v>
      </c>
      <c r="H30" s="154" t="s">
        <v>348</v>
      </c>
      <c r="I30" s="172" t="s">
        <v>347</v>
      </c>
      <c r="J30" s="12" t="s">
        <v>194</v>
      </c>
      <c r="K30" s="12">
        <v>100</v>
      </c>
      <c r="L30" s="42">
        <v>2</v>
      </c>
      <c r="M30" s="177">
        <f t="shared" si="0"/>
        <v>11</v>
      </c>
      <c r="N30" s="120" t="s">
        <v>23</v>
      </c>
      <c r="O30" s="127">
        <v>3.7000000000000002E-3</v>
      </c>
      <c r="P30" s="7">
        <f t="shared" si="1"/>
        <v>0.37</v>
      </c>
      <c r="Q30" s="17" t="s">
        <v>349</v>
      </c>
    </row>
    <row r="31" spans="1:17" ht="15" thickBot="1" x14ac:dyDescent="0.35">
      <c r="A31" s="113">
        <v>29</v>
      </c>
      <c r="B31" s="185"/>
      <c r="C31" s="10" t="s">
        <v>195</v>
      </c>
      <c r="D31" s="18" t="s">
        <v>196</v>
      </c>
      <c r="E31" s="12" t="s">
        <v>127</v>
      </c>
      <c r="F31" s="18" t="s">
        <v>197</v>
      </c>
      <c r="G31" s="18" t="s">
        <v>187</v>
      </c>
      <c r="H31" s="154" t="s">
        <v>198</v>
      </c>
      <c r="I31" s="154" t="s">
        <v>199</v>
      </c>
      <c r="J31" s="12" t="s">
        <v>200</v>
      </c>
      <c r="K31" s="14">
        <v>40</v>
      </c>
      <c r="L31" s="13">
        <v>8</v>
      </c>
      <c r="M31" s="177">
        <f t="shared" si="0"/>
        <v>44</v>
      </c>
      <c r="N31" s="100" t="s">
        <v>23</v>
      </c>
      <c r="O31" s="127">
        <v>4.6699999999999998E-2</v>
      </c>
      <c r="P31" s="7">
        <f t="shared" si="1"/>
        <v>1.8679999999999999</v>
      </c>
      <c r="Q31" s="17"/>
    </row>
    <row r="32" spans="1:17" ht="15" thickBot="1" x14ac:dyDescent="0.35">
      <c r="A32" s="113">
        <v>30</v>
      </c>
      <c r="B32" s="185"/>
      <c r="C32" s="10" t="s">
        <v>201</v>
      </c>
      <c r="D32" s="11" t="s">
        <v>202</v>
      </c>
      <c r="E32" s="12" t="s">
        <v>127</v>
      </c>
      <c r="F32" s="18" t="s">
        <v>203</v>
      </c>
      <c r="G32" s="18" t="s">
        <v>168</v>
      </c>
      <c r="H32" s="154" t="s">
        <v>204</v>
      </c>
      <c r="I32" s="155" t="s">
        <v>205</v>
      </c>
      <c r="J32" s="12" t="s">
        <v>206</v>
      </c>
      <c r="K32" s="14">
        <v>10</v>
      </c>
      <c r="L32" s="13">
        <v>2</v>
      </c>
      <c r="M32" s="177">
        <f t="shared" si="0"/>
        <v>11</v>
      </c>
      <c r="N32" s="100" t="s">
        <v>23</v>
      </c>
      <c r="O32" s="127">
        <v>3.04E-2</v>
      </c>
      <c r="P32" s="7">
        <f t="shared" si="1"/>
        <v>0.30399999999999999</v>
      </c>
      <c r="Q32" s="17"/>
    </row>
    <row r="33" spans="1:17" ht="15" thickBot="1" x14ac:dyDescent="0.35">
      <c r="A33" s="113">
        <v>31</v>
      </c>
      <c r="B33" s="185"/>
      <c r="C33" s="10" t="s">
        <v>207</v>
      </c>
      <c r="D33" s="18" t="s">
        <v>208</v>
      </c>
      <c r="E33" s="12" t="s">
        <v>127</v>
      </c>
      <c r="F33" s="18" t="s">
        <v>209</v>
      </c>
      <c r="G33" s="18" t="s">
        <v>168</v>
      </c>
      <c r="H33" s="154" t="s">
        <v>210</v>
      </c>
      <c r="I33" s="171" t="s">
        <v>211</v>
      </c>
      <c r="J33" s="12" t="s">
        <v>212</v>
      </c>
      <c r="K33" s="14">
        <v>50</v>
      </c>
      <c r="L33" s="13">
        <v>1</v>
      </c>
      <c r="M33" s="177">
        <f t="shared" si="0"/>
        <v>5.5</v>
      </c>
      <c r="N33" s="100" t="s">
        <v>23</v>
      </c>
      <c r="O33" s="127">
        <v>6.8999999999999999E-3</v>
      </c>
      <c r="P33" s="7">
        <f t="shared" si="1"/>
        <v>0.34499999999999997</v>
      </c>
      <c r="Q33" s="17" t="s">
        <v>349</v>
      </c>
    </row>
    <row r="34" spans="1:17" ht="15" thickBot="1" x14ac:dyDescent="0.35">
      <c r="A34" s="113">
        <v>32</v>
      </c>
      <c r="B34" s="185"/>
      <c r="C34" s="44" t="s">
        <v>213</v>
      </c>
      <c r="D34" s="11" t="s">
        <v>214</v>
      </c>
      <c r="E34" s="45" t="s">
        <v>215</v>
      </c>
      <c r="F34" s="11" t="s">
        <v>216</v>
      </c>
      <c r="G34" s="18" t="s">
        <v>187</v>
      </c>
      <c r="H34" s="154" t="s">
        <v>217</v>
      </c>
      <c r="I34" s="18" t="s">
        <v>85</v>
      </c>
      <c r="J34" s="12" t="s">
        <v>218</v>
      </c>
      <c r="K34" s="14">
        <v>100</v>
      </c>
      <c r="L34" s="13">
        <v>1</v>
      </c>
      <c r="M34" s="177">
        <f t="shared" si="0"/>
        <v>5.5</v>
      </c>
      <c r="N34" s="100" t="s">
        <v>23</v>
      </c>
      <c r="O34" s="127">
        <v>2.5999999999999999E-3</v>
      </c>
      <c r="P34" s="7">
        <f t="shared" si="1"/>
        <v>0.26</v>
      </c>
      <c r="Q34" s="17"/>
    </row>
    <row r="35" spans="1:17" ht="15" thickBot="1" x14ac:dyDescent="0.35">
      <c r="A35" s="113">
        <v>33</v>
      </c>
      <c r="B35" s="187"/>
      <c r="C35" s="46" t="s">
        <v>219</v>
      </c>
      <c r="D35" s="47" t="s">
        <v>220</v>
      </c>
      <c r="E35" s="48" t="s">
        <v>127</v>
      </c>
      <c r="F35" s="173" t="s">
        <v>221</v>
      </c>
      <c r="G35" s="174" t="s">
        <v>187</v>
      </c>
      <c r="H35" s="175" t="s">
        <v>222</v>
      </c>
      <c r="I35" s="176" t="s">
        <v>85</v>
      </c>
      <c r="J35" s="49" t="s">
        <v>223</v>
      </c>
      <c r="K35" s="122">
        <v>50</v>
      </c>
      <c r="L35" s="121">
        <v>1</v>
      </c>
      <c r="M35" s="177">
        <f t="shared" si="0"/>
        <v>5.5</v>
      </c>
      <c r="N35" s="123" t="s">
        <v>23</v>
      </c>
      <c r="O35" s="131">
        <v>1.6000000000000001E-3</v>
      </c>
      <c r="P35" s="7">
        <f t="shared" si="1"/>
        <v>0.08</v>
      </c>
      <c r="Q35" s="124"/>
    </row>
    <row r="36" spans="1:17" ht="15" thickBot="1" x14ac:dyDescent="0.35">
      <c r="A36" s="113">
        <v>34</v>
      </c>
      <c r="B36" s="185" t="s">
        <v>224</v>
      </c>
      <c r="C36" s="133" t="s">
        <v>225</v>
      </c>
      <c r="D36" s="134" t="s">
        <v>226</v>
      </c>
      <c r="E36" s="134" t="s">
        <v>227</v>
      </c>
      <c r="F36" s="134" t="s">
        <v>228</v>
      </c>
      <c r="G36" s="134" t="s">
        <v>229</v>
      </c>
      <c r="H36" s="135"/>
      <c r="I36" s="134" t="s">
        <v>85</v>
      </c>
      <c r="J36" s="134" t="s">
        <v>85</v>
      </c>
      <c r="K36" s="136">
        <v>5</v>
      </c>
      <c r="L36" s="135">
        <v>1</v>
      </c>
      <c r="M36" s="177">
        <f t="shared" si="0"/>
        <v>5.5</v>
      </c>
      <c r="N36" s="137" t="s">
        <v>356</v>
      </c>
      <c r="O36" s="143">
        <v>3.71</v>
      </c>
      <c r="P36" s="7">
        <f t="shared" si="1"/>
        <v>18.55</v>
      </c>
      <c r="Q36" s="138" t="s">
        <v>357</v>
      </c>
    </row>
    <row r="37" spans="1:17" ht="15" thickBot="1" x14ac:dyDescent="0.35">
      <c r="A37" s="113">
        <v>35</v>
      </c>
      <c r="B37" s="185"/>
      <c r="C37" s="10" t="s">
        <v>230</v>
      </c>
      <c r="D37" s="12" t="s">
        <v>231</v>
      </c>
      <c r="E37" s="12" t="s">
        <v>232</v>
      </c>
      <c r="F37" s="12" t="s">
        <v>233</v>
      </c>
      <c r="G37" s="12" t="s">
        <v>234</v>
      </c>
      <c r="H37" s="50" t="s">
        <v>235</v>
      </c>
      <c r="I37" s="12" t="s">
        <v>85</v>
      </c>
      <c r="J37" s="12" t="s">
        <v>85</v>
      </c>
      <c r="K37" s="51">
        <v>5</v>
      </c>
      <c r="L37" s="13">
        <v>1</v>
      </c>
      <c r="M37" s="177">
        <f t="shared" si="0"/>
        <v>5.5</v>
      </c>
      <c r="N37" s="101" t="s">
        <v>23</v>
      </c>
      <c r="O37" s="127">
        <v>2.2288999999999999</v>
      </c>
      <c r="P37" s="7">
        <f t="shared" si="1"/>
        <v>11.144499999999999</v>
      </c>
      <c r="Q37" s="17"/>
    </row>
    <row r="38" spans="1:17" ht="15" thickBot="1" x14ac:dyDescent="0.35">
      <c r="A38" s="113">
        <v>36</v>
      </c>
      <c r="B38" s="185"/>
      <c r="C38" s="10" t="s">
        <v>236</v>
      </c>
      <c r="D38" s="12" t="s">
        <v>237</v>
      </c>
      <c r="E38" s="12" t="s">
        <v>238</v>
      </c>
      <c r="F38" s="12" t="s">
        <v>239</v>
      </c>
      <c r="G38" s="12" t="s">
        <v>122</v>
      </c>
      <c r="H38" s="50" t="s">
        <v>240</v>
      </c>
      <c r="I38" s="12" t="s">
        <v>85</v>
      </c>
      <c r="J38" s="12" t="s">
        <v>85</v>
      </c>
      <c r="K38" s="51">
        <v>5</v>
      </c>
      <c r="L38" s="13">
        <v>1</v>
      </c>
      <c r="M38" s="177">
        <f t="shared" si="0"/>
        <v>5.5</v>
      </c>
      <c r="N38" s="101" t="s">
        <v>23</v>
      </c>
      <c r="O38" s="127">
        <v>0.16400000000000001</v>
      </c>
      <c r="P38" s="7">
        <f t="shared" si="1"/>
        <v>0.82000000000000006</v>
      </c>
      <c r="Q38" s="17" t="s">
        <v>351</v>
      </c>
    </row>
    <row r="39" spans="1:17" ht="15" thickBot="1" x14ac:dyDescent="0.35">
      <c r="A39" s="113">
        <v>37</v>
      </c>
      <c r="B39" s="185"/>
      <c r="C39" s="96" t="s">
        <v>241</v>
      </c>
      <c r="D39" s="89" t="s">
        <v>242</v>
      </c>
      <c r="E39" s="89" t="s">
        <v>243</v>
      </c>
      <c r="F39" s="89" t="s">
        <v>244</v>
      </c>
      <c r="G39" s="89" t="s">
        <v>245</v>
      </c>
      <c r="H39" s="90" t="s">
        <v>246</v>
      </c>
      <c r="I39" s="89" t="s">
        <v>85</v>
      </c>
      <c r="J39" s="89" t="s">
        <v>85</v>
      </c>
      <c r="K39" s="97">
        <v>5</v>
      </c>
      <c r="L39" s="90">
        <v>1</v>
      </c>
      <c r="M39" s="177">
        <f t="shared" si="0"/>
        <v>5.5</v>
      </c>
      <c r="N39" s="102" t="s">
        <v>251</v>
      </c>
      <c r="O39" s="129">
        <v>4.3600000000000003</v>
      </c>
      <c r="P39" s="7">
        <f t="shared" si="1"/>
        <v>21.8</v>
      </c>
      <c r="Q39" s="21" t="s">
        <v>111</v>
      </c>
    </row>
    <row r="40" spans="1:17" ht="15" thickBot="1" x14ac:dyDescent="0.35">
      <c r="A40" s="113">
        <v>38</v>
      </c>
      <c r="B40" s="185"/>
      <c r="C40" s="91" t="s">
        <v>247</v>
      </c>
      <c r="D40" s="92" t="s">
        <v>248</v>
      </c>
      <c r="E40" s="92" t="s">
        <v>249</v>
      </c>
      <c r="F40" s="92" t="s">
        <v>250</v>
      </c>
      <c r="G40" s="92" t="s">
        <v>229</v>
      </c>
      <c r="H40" s="144" t="s">
        <v>350</v>
      </c>
      <c r="I40" s="41" t="s">
        <v>85</v>
      </c>
      <c r="J40" s="41" t="s">
        <v>123</v>
      </c>
      <c r="K40" s="51">
        <v>5</v>
      </c>
      <c r="L40" s="13">
        <v>1</v>
      </c>
      <c r="M40" s="177">
        <f t="shared" si="0"/>
        <v>5.5</v>
      </c>
      <c r="N40" s="101" t="s">
        <v>23</v>
      </c>
      <c r="O40" s="127">
        <v>5.3250999999999999</v>
      </c>
      <c r="P40" s="7">
        <f t="shared" si="1"/>
        <v>26.625499999999999</v>
      </c>
      <c r="Q40" s="53"/>
    </row>
    <row r="41" spans="1:17" ht="15" thickBot="1" x14ac:dyDescent="0.35">
      <c r="A41" s="113">
        <v>39</v>
      </c>
      <c r="B41" s="185"/>
      <c r="C41" s="52" t="s">
        <v>252</v>
      </c>
      <c r="D41" s="11" t="s">
        <v>253</v>
      </c>
      <c r="E41" s="11" t="s">
        <v>254</v>
      </c>
      <c r="F41" s="11" t="s">
        <v>255</v>
      </c>
      <c r="G41" s="12" t="s">
        <v>122</v>
      </c>
      <c r="H41" s="50" t="s">
        <v>256</v>
      </c>
      <c r="I41" s="12" t="s">
        <v>85</v>
      </c>
      <c r="J41" s="12" t="s">
        <v>85</v>
      </c>
      <c r="K41" s="51">
        <v>5</v>
      </c>
      <c r="L41" s="13">
        <v>1</v>
      </c>
      <c r="M41" s="177">
        <f t="shared" si="0"/>
        <v>5.5</v>
      </c>
      <c r="N41" s="101" t="s">
        <v>23</v>
      </c>
      <c r="O41" s="127">
        <v>0.50139999999999996</v>
      </c>
      <c r="P41" s="7">
        <f t="shared" si="1"/>
        <v>2.5069999999999997</v>
      </c>
      <c r="Q41" s="54"/>
    </row>
    <row r="42" spans="1:17" ht="15" thickBot="1" x14ac:dyDescent="0.35">
      <c r="A42" s="113">
        <v>40</v>
      </c>
      <c r="B42" s="185"/>
      <c r="C42" s="10" t="s">
        <v>257</v>
      </c>
      <c r="D42" s="12" t="s">
        <v>258</v>
      </c>
      <c r="E42" s="12" t="s">
        <v>259</v>
      </c>
      <c r="F42" s="12" t="s">
        <v>260</v>
      </c>
      <c r="G42" s="12" t="s">
        <v>261</v>
      </c>
      <c r="H42" s="50" t="s">
        <v>262</v>
      </c>
      <c r="I42" s="12" t="s">
        <v>85</v>
      </c>
      <c r="J42" s="12" t="s">
        <v>85</v>
      </c>
      <c r="K42" s="51">
        <v>5</v>
      </c>
      <c r="L42" s="13">
        <v>1</v>
      </c>
      <c r="M42" s="177">
        <f t="shared" si="0"/>
        <v>5.5</v>
      </c>
      <c r="N42" s="101" t="s">
        <v>23</v>
      </c>
      <c r="O42" s="127">
        <v>0.84399999999999997</v>
      </c>
      <c r="P42" s="7">
        <f t="shared" si="1"/>
        <v>4.22</v>
      </c>
      <c r="Q42" s="17" t="s">
        <v>351</v>
      </c>
    </row>
    <row r="43" spans="1:17" ht="15" thickBot="1" x14ac:dyDescent="0.35">
      <c r="A43" s="113">
        <v>41</v>
      </c>
      <c r="B43" s="186" t="s">
        <v>263</v>
      </c>
      <c r="C43" s="35" t="s">
        <v>264</v>
      </c>
      <c r="D43" s="31" t="s">
        <v>265</v>
      </c>
      <c r="E43" s="2" t="s">
        <v>62</v>
      </c>
      <c r="F43" s="31" t="s">
        <v>266</v>
      </c>
      <c r="G43" s="36" t="s">
        <v>267</v>
      </c>
      <c r="H43" s="55" t="s">
        <v>268</v>
      </c>
      <c r="I43" s="56" t="s">
        <v>269</v>
      </c>
      <c r="J43" s="56" t="s">
        <v>123</v>
      </c>
      <c r="K43" s="57">
        <v>50</v>
      </c>
      <c r="L43" s="58">
        <v>2</v>
      </c>
      <c r="M43" s="177">
        <f t="shared" si="0"/>
        <v>11</v>
      </c>
      <c r="N43" s="105" t="s">
        <v>23</v>
      </c>
      <c r="O43" s="126">
        <v>1.0500000000000001E-2</v>
      </c>
      <c r="P43" s="7">
        <f t="shared" si="1"/>
        <v>0.52500000000000002</v>
      </c>
      <c r="Q43" s="59" t="s">
        <v>352</v>
      </c>
    </row>
    <row r="44" spans="1:17" ht="15" thickBot="1" x14ac:dyDescent="0.35">
      <c r="A44" s="113">
        <v>42</v>
      </c>
      <c r="B44" s="185"/>
      <c r="C44" s="52" t="s">
        <v>270</v>
      </c>
      <c r="D44" s="11" t="s">
        <v>271</v>
      </c>
      <c r="E44" s="18" t="s">
        <v>62</v>
      </c>
      <c r="F44" s="11" t="s">
        <v>272</v>
      </c>
      <c r="G44" s="45" t="s">
        <v>267</v>
      </c>
      <c r="H44" s="50" t="s">
        <v>273</v>
      </c>
      <c r="I44" s="12" t="s">
        <v>274</v>
      </c>
      <c r="J44" s="12" t="s">
        <v>123</v>
      </c>
      <c r="K44" s="51">
        <v>50</v>
      </c>
      <c r="L44" s="13">
        <v>1</v>
      </c>
      <c r="M44" s="177">
        <f t="shared" si="0"/>
        <v>5.5</v>
      </c>
      <c r="N44" s="101" t="s">
        <v>23</v>
      </c>
      <c r="O44" s="127">
        <v>8.3000000000000001E-3</v>
      </c>
      <c r="P44" s="7">
        <f t="shared" si="1"/>
        <v>0.41499999999999998</v>
      </c>
      <c r="Q44" s="17" t="s">
        <v>352</v>
      </c>
    </row>
    <row r="45" spans="1:17" ht="15" thickBot="1" x14ac:dyDescent="0.35">
      <c r="A45" s="113">
        <v>43</v>
      </c>
      <c r="B45" s="185"/>
      <c r="C45" s="60" t="s">
        <v>275</v>
      </c>
      <c r="D45" s="61" t="s">
        <v>276</v>
      </c>
      <c r="E45" s="61" t="s">
        <v>62</v>
      </c>
      <c r="F45" s="61" t="s">
        <v>277</v>
      </c>
      <c r="G45" s="61" t="s">
        <v>278</v>
      </c>
      <c r="H45" s="62" t="s">
        <v>279</v>
      </c>
      <c r="I45" s="61" t="s">
        <v>85</v>
      </c>
      <c r="J45" s="61" t="s">
        <v>85</v>
      </c>
      <c r="K45" s="63">
        <v>5</v>
      </c>
      <c r="L45" s="64">
        <v>1</v>
      </c>
      <c r="M45" s="177">
        <f t="shared" si="0"/>
        <v>5.5</v>
      </c>
      <c r="N45" s="106" t="s">
        <v>23</v>
      </c>
      <c r="O45" s="127">
        <v>0.99550000000000005</v>
      </c>
      <c r="P45" s="7">
        <f t="shared" si="1"/>
        <v>4.9775</v>
      </c>
      <c r="Q45" s="65"/>
    </row>
    <row r="46" spans="1:17" ht="15" thickBot="1" x14ac:dyDescent="0.35">
      <c r="A46" s="113">
        <v>44</v>
      </c>
      <c r="B46" s="185"/>
      <c r="C46" s="10" t="s">
        <v>280</v>
      </c>
      <c r="D46" s="12" t="s">
        <v>281</v>
      </c>
      <c r="E46" s="12" t="s">
        <v>62</v>
      </c>
      <c r="F46" s="12" t="s">
        <v>282</v>
      </c>
      <c r="G46" s="12" t="s">
        <v>283</v>
      </c>
      <c r="H46" s="13" t="s">
        <v>284</v>
      </c>
      <c r="I46" s="12" t="s">
        <v>85</v>
      </c>
      <c r="J46" s="12" t="s">
        <v>85</v>
      </c>
      <c r="K46" s="14">
        <v>10</v>
      </c>
      <c r="L46" s="13">
        <v>2</v>
      </c>
      <c r="M46" s="177">
        <f t="shared" si="0"/>
        <v>11</v>
      </c>
      <c r="N46" s="100" t="s">
        <v>23</v>
      </c>
      <c r="O46" s="127">
        <v>0.30409999999999998</v>
      </c>
      <c r="P46" s="7">
        <f t="shared" si="1"/>
        <v>3.0409999999999999</v>
      </c>
      <c r="Q46" s="17"/>
    </row>
    <row r="47" spans="1:17" ht="15" thickBot="1" x14ac:dyDescent="0.35">
      <c r="A47" s="113">
        <v>45</v>
      </c>
      <c r="B47" s="185"/>
      <c r="C47" s="10" t="s">
        <v>285</v>
      </c>
      <c r="D47" s="12" t="s">
        <v>286</v>
      </c>
      <c r="E47" s="12" t="s">
        <v>62</v>
      </c>
      <c r="F47" s="12" t="s">
        <v>287</v>
      </c>
      <c r="G47" s="12" t="s">
        <v>288</v>
      </c>
      <c r="H47" s="34" t="s">
        <v>289</v>
      </c>
      <c r="I47" s="12" t="s">
        <v>85</v>
      </c>
      <c r="J47" s="12" t="s">
        <v>290</v>
      </c>
      <c r="K47" s="14">
        <v>5</v>
      </c>
      <c r="L47" s="13">
        <v>1</v>
      </c>
      <c r="M47" s="177">
        <f t="shared" si="0"/>
        <v>5.5</v>
      </c>
      <c r="N47" s="100" t="s">
        <v>23</v>
      </c>
      <c r="O47" s="127">
        <v>3.2496</v>
      </c>
      <c r="P47" s="7">
        <f t="shared" si="1"/>
        <v>16.248000000000001</v>
      </c>
      <c r="Q47" s="54"/>
    </row>
    <row r="48" spans="1:17" ht="15" thickBot="1" x14ac:dyDescent="0.35">
      <c r="A48" s="113">
        <v>46</v>
      </c>
      <c r="B48" s="185"/>
      <c r="C48" s="10" t="s">
        <v>291</v>
      </c>
      <c r="D48" s="12" t="s">
        <v>292</v>
      </c>
      <c r="E48" s="12" t="s">
        <v>62</v>
      </c>
      <c r="F48" s="12" t="s">
        <v>293</v>
      </c>
      <c r="G48" s="12" t="s">
        <v>294</v>
      </c>
      <c r="H48" s="12" t="s">
        <v>290</v>
      </c>
      <c r="I48" s="12" t="s">
        <v>290</v>
      </c>
      <c r="J48" s="12" t="s">
        <v>290</v>
      </c>
      <c r="K48" s="12">
        <v>5</v>
      </c>
      <c r="L48" s="13">
        <v>1</v>
      </c>
      <c r="M48" s="177">
        <f t="shared" si="0"/>
        <v>5.5</v>
      </c>
      <c r="N48" s="100" t="s">
        <v>251</v>
      </c>
      <c r="O48" s="132">
        <v>1.36</v>
      </c>
      <c r="P48" s="7">
        <f t="shared" si="1"/>
        <v>6.8000000000000007</v>
      </c>
      <c r="Q48" s="17" t="s">
        <v>354</v>
      </c>
    </row>
    <row r="49" spans="1:17" ht="15" thickBot="1" x14ac:dyDescent="0.35">
      <c r="A49" s="113">
        <v>47</v>
      </c>
      <c r="B49" s="185"/>
      <c r="C49" s="10" t="s">
        <v>295</v>
      </c>
      <c r="D49" s="12" t="s">
        <v>296</v>
      </c>
      <c r="E49" s="12" t="s">
        <v>62</v>
      </c>
      <c r="F49" s="12" t="s">
        <v>297</v>
      </c>
      <c r="G49" s="12" t="s">
        <v>298</v>
      </c>
      <c r="H49" s="13" t="s">
        <v>299</v>
      </c>
      <c r="I49" s="19" t="s">
        <v>105</v>
      </c>
      <c r="J49" s="12" t="s">
        <v>290</v>
      </c>
      <c r="K49" s="14">
        <v>5</v>
      </c>
      <c r="L49" s="13">
        <v>1</v>
      </c>
      <c r="M49" s="177">
        <f t="shared" si="0"/>
        <v>5.5</v>
      </c>
      <c r="N49" s="100" t="s">
        <v>23</v>
      </c>
      <c r="O49" s="132">
        <v>0.39140000000000003</v>
      </c>
      <c r="P49" s="7">
        <f t="shared" si="1"/>
        <v>1.9570000000000001</v>
      </c>
      <c r="Q49" s="17"/>
    </row>
    <row r="50" spans="1:17" ht="15" thickBot="1" x14ac:dyDescent="0.35">
      <c r="A50" s="113">
        <v>48</v>
      </c>
      <c r="B50" s="185"/>
      <c r="C50" s="10" t="s">
        <v>300</v>
      </c>
      <c r="D50" s="12" t="s">
        <v>301</v>
      </c>
      <c r="E50" s="12" t="s">
        <v>62</v>
      </c>
      <c r="F50" s="12" t="s">
        <v>302</v>
      </c>
      <c r="G50" s="12" t="s">
        <v>267</v>
      </c>
      <c r="H50" s="34" t="s">
        <v>303</v>
      </c>
      <c r="I50" s="34" t="s">
        <v>304</v>
      </c>
      <c r="J50" s="12"/>
      <c r="K50" s="14">
        <v>10</v>
      </c>
      <c r="L50" s="13">
        <v>1</v>
      </c>
      <c r="M50" s="177">
        <f t="shared" si="0"/>
        <v>5.5</v>
      </c>
      <c r="N50" s="100" t="s">
        <v>23</v>
      </c>
      <c r="O50" s="127">
        <v>5.4100000000000002E-2</v>
      </c>
      <c r="P50" s="7">
        <f t="shared" si="1"/>
        <v>0.54100000000000004</v>
      </c>
      <c r="Q50" s="17"/>
    </row>
    <row r="51" spans="1:17" ht="15" thickBot="1" x14ac:dyDescent="0.35">
      <c r="A51" s="113">
        <v>49</v>
      </c>
      <c r="B51" s="185"/>
      <c r="C51" s="10" t="s">
        <v>305</v>
      </c>
      <c r="D51" s="11" t="s">
        <v>306</v>
      </c>
      <c r="E51" s="12" t="s">
        <v>62</v>
      </c>
      <c r="F51" s="13" t="s">
        <v>308</v>
      </c>
      <c r="G51" s="148" t="s">
        <v>353</v>
      </c>
      <c r="H51" s="13" t="s">
        <v>307</v>
      </c>
      <c r="I51" s="13"/>
      <c r="J51" s="12"/>
      <c r="K51" s="14">
        <v>10</v>
      </c>
      <c r="L51" s="13">
        <v>2</v>
      </c>
      <c r="M51" s="177">
        <f t="shared" si="0"/>
        <v>11</v>
      </c>
      <c r="N51" s="100" t="s">
        <v>23</v>
      </c>
      <c r="O51" s="127">
        <v>0.16200000000000001</v>
      </c>
      <c r="P51" s="7">
        <f t="shared" si="1"/>
        <v>1.62</v>
      </c>
      <c r="Q51" s="54"/>
    </row>
    <row r="52" spans="1:17" ht="15" thickBot="1" x14ac:dyDescent="0.35">
      <c r="A52" s="113">
        <v>50</v>
      </c>
      <c r="B52" s="185"/>
      <c r="C52" s="149" t="s">
        <v>363</v>
      </c>
      <c r="D52" s="12" t="s">
        <v>309</v>
      </c>
      <c r="E52" s="12" t="s">
        <v>62</v>
      </c>
      <c r="F52" s="12" t="s">
        <v>361</v>
      </c>
      <c r="G52" s="12" t="s">
        <v>362</v>
      </c>
      <c r="H52" s="147" t="s">
        <v>364</v>
      </c>
      <c r="I52" s="12" t="s">
        <v>290</v>
      </c>
      <c r="J52" s="12" t="s">
        <v>123</v>
      </c>
      <c r="K52" s="51">
        <v>5</v>
      </c>
      <c r="L52" s="13">
        <v>1</v>
      </c>
      <c r="M52" s="177">
        <f t="shared" si="0"/>
        <v>5.5</v>
      </c>
      <c r="N52" s="145" t="s">
        <v>23</v>
      </c>
      <c r="O52" s="146">
        <v>1.8448</v>
      </c>
      <c r="P52" s="7">
        <f t="shared" si="1"/>
        <v>9.2240000000000002</v>
      </c>
      <c r="Q52" s="17"/>
    </row>
    <row r="53" spans="1:17" ht="15" thickBot="1" x14ac:dyDescent="0.35">
      <c r="A53" s="113">
        <v>51</v>
      </c>
      <c r="B53" s="185"/>
      <c r="C53" s="10" t="s">
        <v>310</v>
      </c>
      <c r="D53" s="12" t="s">
        <v>311</v>
      </c>
      <c r="E53" s="12" t="s">
        <v>62</v>
      </c>
      <c r="F53" s="12" t="s">
        <v>312</v>
      </c>
      <c r="G53" s="12" t="s">
        <v>313</v>
      </c>
      <c r="H53" s="50" t="s">
        <v>314</v>
      </c>
      <c r="I53" s="12" t="s">
        <v>290</v>
      </c>
      <c r="J53" s="12" t="s">
        <v>123</v>
      </c>
      <c r="K53" s="51">
        <v>10</v>
      </c>
      <c r="L53" s="13">
        <v>1</v>
      </c>
      <c r="M53" s="177">
        <f t="shared" si="0"/>
        <v>5.5</v>
      </c>
      <c r="N53" s="107" t="s">
        <v>23</v>
      </c>
      <c r="O53" s="128">
        <v>4.5900000000000003E-2</v>
      </c>
      <c r="P53" s="7">
        <f t="shared" si="1"/>
        <v>0.45900000000000002</v>
      </c>
      <c r="Q53" s="17"/>
    </row>
    <row r="54" spans="1:17" ht="69.599999999999994" thickBot="1" x14ac:dyDescent="0.35">
      <c r="A54" s="113">
        <v>52</v>
      </c>
      <c r="B54" s="185"/>
      <c r="C54" s="66" t="s">
        <v>315</v>
      </c>
      <c r="D54" s="67" t="s">
        <v>316</v>
      </c>
      <c r="E54" s="67" t="s">
        <v>62</v>
      </c>
      <c r="F54" s="68" t="s">
        <v>317</v>
      </c>
      <c r="G54" s="69" t="s">
        <v>318</v>
      </c>
      <c r="H54" s="69" t="s">
        <v>318</v>
      </c>
      <c r="I54" s="69" t="s">
        <v>318</v>
      </c>
      <c r="J54" s="69" t="s">
        <v>123</v>
      </c>
      <c r="K54" s="69" t="s">
        <v>85</v>
      </c>
      <c r="L54" s="70">
        <v>32</v>
      </c>
      <c r="M54" s="177">
        <f t="shared" si="0"/>
        <v>176</v>
      </c>
      <c r="N54" s="108" t="s">
        <v>318</v>
      </c>
      <c r="O54" s="71" t="s">
        <v>318</v>
      </c>
      <c r="P54" s="7" t="e">
        <f t="shared" si="1"/>
        <v>#VALUE!</v>
      </c>
      <c r="Q54" s="72" t="s">
        <v>319</v>
      </c>
    </row>
    <row r="55" spans="1:17" ht="15" thickBot="1" x14ac:dyDescent="0.35">
      <c r="A55" s="113">
        <v>53</v>
      </c>
      <c r="B55" s="187"/>
      <c r="C55" s="73" t="s">
        <v>320</v>
      </c>
      <c r="D55" s="74" t="s">
        <v>321</v>
      </c>
      <c r="E55" s="74" t="s">
        <v>62</v>
      </c>
      <c r="F55" s="75" t="s">
        <v>322</v>
      </c>
      <c r="G55" s="76" t="s">
        <v>318</v>
      </c>
      <c r="H55" s="77" t="s">
        <v>318</v>
      </c>
      <c r="I55" s="77" t="s">
        <v>318</v>
      </c>
      <c r="J55" s="77" t="s">
        <v>123</v>
      </c>
      <c r="K55" s="77" t="s">
        <v>85</v>
      </c>
      <c r="L55" s="78">
        <v>1</v>
      </c>
      <c r="M55" s="177">
        <f t="shared" si="0"/>
        <v>5.5</v>
      </c>
      <c r="N55" s="109" t="s">
        <v>318</v>
      </c>
      <c r="O55" s="125" t="s">
        <v>318</v>
      </c>
      <c r="P55" s="7" t="e">
        <f t="shared" si="1"/>
        <v>#VALUE!</v>
      </c>
      <c r="Q55" s="79" t="s">
        <v>319</v>
      </c>
    </row>
    <row r="56" spans="1:17" ht="15" thickBot="1" x14ac:dyDescent="0.35">
      <c r="A56" s="113">
        <v>54</v>
      </c>
      <c r="B56" s="188" t="s">
        <v>323</v>
      </c>
      <c r="C56" s="1" t="s">
        <v>324</v>
      </c>
      <c r="D56" s="32" t="s">
        <v>205</v>
      </c>
      <c r="E56" s="3" t="s">
        <v>62</v>
      </c>
      <c r="F56" s="3" t="s">
        <v>325</v>
      </c>
      <c r="G56" s="3" t="s">
        <v>326</v>
      </c>
      <c r="H56" s="32" t="s">
        <v>205</v>
      </c>
      <c r="I56" s="3" t="s">
        <v>85</v>
      </c>
      <c r="J56" s="3" t="s">
        <v>85</v>
      </c>
      <c r="K56" s="3" t="s">
        <v>85</v>
      </c>
      <c r="L56" s="4">
        <v>1</v>
      </c>
      <c r="M56" s="177">
        <f t="shared" si="0"/>
        <v>5.5</v>
      </c>
      <c r="N56" s="110" t="s">
        <v>251</v>
      </c>
      <c r="O56" s="7">
        <v>12.42</v>
      </c>
      <c r="P56" s="7" t="e">
        <f t="shared" si="1"/>
        <v>#VALUE!</v>
      </c>
      <c r="Q56" s="8" t="s">
        <v>360</v>
      </c>
    </row>
    <row r="57" spans="1:17" ht="15" thickBot="1" x14ac:dyDescent="0.35">
      <c r="A57" s="113">
        <v>55</v>
      </c>
      <c r="B57" s="189"/>
      <c r="C57" s="10" t="s">
        <v>327</v>
      </c>
      <c r="D57" s="19" t="s">
        <v>205</v>
      </c>
      <c r="E57" s="12" t="s">
        <v>62</v>
      </c>
      <c r="F57" s="12" t="s">
        <v>328</v>
      </c>
      <c r="G57" s="19" t="s">
        <v>205</v>
      </c>
      <c r="H57" s="19" t="s">
        <v>205</v>
      </c>
      <c r="I57" s="12" t="s">
        <v>85</v>
      </c>
      <c r="J57" s="12" t="s">
        <v>85</v>
      </c>
      <c r="K57" s="12" t="s">
        <v>85</v>
      </c>
      <c r="L57" s="13">
        <v>1</v>
      </c>
      <c r="M57" s="177">
        <f t="shared" si="0"/>
        <v>5.5</v>
      </c>
      <c r="N57" s="107"/>
      <c r="O57" s="16"/>
      <c r="P57" s="7" t="e">
        <f t="shared" si="1"/>
        <v>#VALUE!</v>
      </c>
      <c r="Q57" s="80" t="s">
        <v>329</v>
      </c>
    </row>
    <row r="58" spans="1:17" ht="15" thickBot="1" x14ac:dyDescent="0.35">
      <c r="A58" s="113">
        <v>56</v>
      </c>
      <c r="B58" s="189"/>
      <c r="C58" s="10" t="s">
        <v>330</v>
      </c>
      <c r="D58" s="19" t="s">
        <v>205</v>
      </c>
      <c r="E58" s="12" t="s">
        <v>62</v>
      </c>
      <c r="F58" s="12" t="s">
        <v>331</v>
      </c>
      <c r="G58" s="19" t="s">
        <v>332</v>
      </c>
      <c r="H58" s="19" t="s">
        <v>205</v>
      </c>
      <c r="I58" s="12" t="s">
        <v>85</v>
      </c>
      <c r="J58" s="12" t="s">
        <v>85</v>
      </c>
      <c r="K58" s="12" t="s">
        <v>85</v>
      </c>
      <c r="L58" s="13">
        <v>1</v>
      </c>
      <c r="M58" s="177">
        <f t="shared" si="0"/>
        <v>5.5</v>
      </c>
      <c r="N58" s="107" t="s">
        <v>251</v>
      </c>
      <c r="O58" s="127">
        <v>101.19</v>
      </c>
      <c r="P58" s="7" t="e">
        <f t="shared" si="1"/>
        <v>#VALUE!</v>
      </c>
      <c r="Q58" s="17"/>
    </row>
    <row r="59" spans="1:17" ht="15" thickBot="1" x14ac:dyDescent="0.35">
      <c r="A59" s="113">
        <v>57</v>
      </c>
      <c r="B59" s="189"/>
      <c r="C59" s="81" t="s">
        <v>333</v>
      </c>
      <c r="D59" s="19" t="s">
        <v>205</v>
      </c>
      <c r="E59" s="50" t="s">
        <v>62</v>
      </c>
      <c r="F59" s="19" t="s">
        <v>334</v>
      </c>
      <c r="G59" s="19" t="s">
        <v>335</v>
      </c>
      <c r="H59" s="19" t="s">
        <v>205</v>
      </c>
      <c r="I59" s="12" t="s">
        <v>85</v>
      </c>
      <c r="J59" s="12" t="s">
        <v>85</v>
      </c>
      <c r="K59" s="12" t="s">
        <v>85</v>
      </c>
      <c r="L59" s="13">
        <v>1</v>
      </c>
      <c r="M59" s="177">
        <f t="shared" si="0"/>
        <v>5.5</v>
      </c>
      <c r="N59" s="107" t="s">
        <v>251</v>
      </c>
      <c r="O59" s="16">
        <v>49.99</v>
      </c>
      <c r="P59" s="7" t="e">
        <f t="shared" si="1"/>
        <v>#VALUE!</v>
      </c>
      <c r="Q59" s="17"/>
    </row>
    <row r="60" spans="1:17" ht="15" thickBot="1" x14ac:dyDescent="0.35">
      <c r="A60" s="113">
        <v>58</v>
      </c>
      <c r="B60" s="189"/>
      <c r="C60" s="81" t="s">
        <v>336</v>
      </c>
      <c r="D60" s="19" t="s">
        <v>205</v>
      </c>
      <c r="E60" s="50" t="s">
        <v>62</v>
      </c>
      <c r="F60" s="19" t="s">
        <v>337</v>
      </c>
      <c r="G60" s="19" t="s">
        <v>338</v>
      </c>
      <c r="H60" s="19" t="s">
        <v>205</v>
      </c>
      <c r="I60" s="12" t="s">
        <v>85</v>
      </c>
      <c r="J60" s="12" t="s">
        <v>85</v>
      </c>
      <c r="K60" s="12" t="s">
        <v>85</v>
      </c>
      <c r="L60" s="13">
        <v>1</v>
      </c>
      <c r="M60" s="177">
        <f t="shared" si="0"/>
        <v>5.5</v>
      </c>
      <c r="N60" s="107" t="s">
        <v>338</v>
      </c>
      <c r="O60" s="130">
        <v>10</v>
      </c>
      <c r="P60" s="7" t="e">
        <f t="shared" si="1"/>
        <v>#VALUE!</v>
      </c>
      <c r="Q60" s="80" t="s">
        <v>339</v>
      </c>
    </row>
    <row r="61" spans="1:17" ht="15" thickBot="1" x14ac:dyDescent="0.35">
      <c r="A61" s="113">
        <v>59</v>
      </c>
      <c r="B61" s="190"/>
      <c r="C61" s="82" t="s">
        <v>340</v>
      </c>
      <c r="D61" s="26" t="s">
        <v>205</v>
      </c>
      <c r="E61" s="39" t="s">
        <v>62</v>
      </c>
      <c r="F61" s="26" t="s">
        <v>205</v>
      </c>
      <c r="G61" s="26" t="s">
        <v>205</v>
      </c>
      <c r="H61" s="26" t="s">
        <v>205</v>
      </c>
      <c r="I61" s="24" t="s">
        <v>85</v>
      </c>
      <c r="J61" s="24" t="s">
        <v>85</v>
      </c>
      <c r="K61" s="24" t="s">
        <v>85</v>
      </c>
      <c r="L61" s="25">
        <v>2</v>
      </c>
      <c r="M61" s="177">
        <f t="shared" si="0"/>
        <v>11</v>
      </c>
      <c r="N61" s="111"/>
      <c r="O61" s="29"/>
      <c r="P61" s="7" t="e">
        <f t="shared" si="1"/>
        <v>#VALUE!</v>
      </c>
      <c r="Q61" s="83" t="s">
        <v>329</v>
      </c>
    </row>
  </sheetData>
  <mergeCells count="9">
    <mergeCell ref="B36:B42"/>
    <mergeCell ref="B43:B55"/>
    <mergeCell ref="B56:B61"/>
    <mergeCell ref="A1:Q1"/>
    <mergeCell ref="B3:B12"/>
    <mergeCell ref="B13:B15"/>
    <mergeCell ref="B16:B17"/>
    <mergeCell ref="B18:B19"/>
    <mergeCell ref="B20:B35"/>
  </mergeCells>
  <conditionalFormatting sqref="L55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5">
    <cfRule type="dataBar" priority="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{D72395D4-8612-4128-B582-5445A674555D}</x14:id>
        </ext>
      </extLst>
    </cfRule>
  </conditionalFormatting>
  <conditionalFormatting sqref="Q47">
    <cfRule type="dataBar" priority="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{59386793-ED03-4D1C-AC59-FAFE56F65581}</x14:id>
        </ext>
      </extLst>
    </cfRule>
  </conditionalFormatting>
  <conditionalFormatting sqref="Q41">
    <cfRule type="dataBar" priority="1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{04BB34A9-6106-4AF7-9C8D-971B7E0848D8}</x14:id>
        </ext>
      </extLst>
    </cfRule>
  </conditionalFormatting>
  <conditionalFormatting sqref="Q18">
    <cfRule type="dataBar" priority="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{B904F8B1-C734-488A-8F77-075941F2E2E2}</x14:id>
        </ext>
      </extLst>
    </cfRule>
  </conditionalFormatting>
  <conditionalFormatting sqref="Q13">
    <cfRule type="dataBar" priority="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{4129C94E-568E-4C41-8B9A-978AC22070E7}</x14:id>
        </ext>
      </extLst>
    </cfRule>
  </conditionalFormatting>
  <conditionalFormatting sqref="N3:N5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{E4464778-B8A1-458B-9352-A5954E13AA09}</x14:id>
        </ext>
      </extLst>
    </cfRule>
  </conditionalFormatting>
  <conditionalFormatting sqref="N45:N5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{97AEA3F5-E50B-49E3-9903-3061380EF245}</x14:id>
        </ext>
      </extLst>
    </cfRule>
  </conditionalFormatting>
  <conditionalFormatting sqref="N20:N2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{9F90524E-44B5-483D-836B-B07344293172}</x14:id>
        </ext>
      </extLst>
    </cfRule>
  </conditionalFormatting>
  <conditionalFormatting sqref="N31:N3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{28A10B96-BC77-49AD-8E87-691EA71509A9}</x14:id>
        </ext>
      </extLst>
    </cfRule>
  </conditionalFormatting>
  <conditionalFormatting sqref="Q51">
    <cfRule type="dataBar" priority="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{BB133C06-9598-4181-A155-C0E2B108E280}</x14:id>
        </ext>
      </extLst>
    </cfRule>
  </conditionalFormatting>
  <conditionalFormatting sqref="L3:L1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3:L53 L55 M3:M61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54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{2BB6DE04-BFDF-4017-B7DF-B413C2723F82}</x14:id>
        </ext>
      </extLst>
    </cfRule>
  </conditionalFormatting>
  <conditionalFormatting sqref="L5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8:L5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0:L6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6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{A65C7F43-C1EE-4F8A-B1CE-DB74C01A48DE}</x14:id>
        </ext>
      </extLst>
    </cfRule>
  </conditionalFormatting>
  <hyperlinks>
    <hyperlink ref="N3" r:id="rId1" xr:uid="{2ECA82FB-01C4-4DBF-B19F-B1CC60260F9A}"/>
    <hyperlink ref="N4" r:id="rId2" xr:uid="{9655811F-C7F1-4803-A904-602FDCB717A3}"/>
    <hyperlink ref="N46" r:id="rId3" xr:uid="{849444FC-C113-4483-8E36-D958121B0898}"/>
    <hyperlink ref="N47" r:id="rId4" xr:uid="{D3270746-BC09-47D1-B293-FD821383FC23}"/>
    <hyperlink ref="N49" r:id="rId5" xr:uid="{03B6848D-BF55-4F46-97E9-4D3C1E0A06D3}"/>
    <hyperlink ref="N45" r:id="rId6" xr:uid="{F242CD86-C9C7-4569-BED6-D681B30388A0}"/>
    <hyperlink ref="N51" r:id="rId7" xr:uid="{E18E8CFC-282E-45E4-B50A-B33D26016830}"/>
    <hyperlink ref="N50" r:id="rId8" xr:uid="{82684DCC-F2BC-479D-94CE-DAF332A47182}"/>
    <hyperlink ref="N20" r:id="rId9" xr:uid="{882B3AFE-70F5-48D5-8BA2-A09ECD165BA0}"/>
    <hyperlink ref="N21" r:id="rId10" xr:uid="{1C9DEF2D-C55D-4A09-BC3A-3431694769CB}"/>
    <hyperlink ref="N22" r:id="rId11" xr:uid="{D451502B-D78B-4B9E-98C9-B609CFD0EEA1}"/>
    <hyperlink ref="N32" r:id="rId12" xr:uid="{790413E5-A594-4A7F-A105-57673CD681D4}"/>
    <hyperlink ref="N31" r:id="rId13" xr:uid="{F4E154C1-76F9-44FB-B2AA-5ABF7D448297}"/>
    <hyperlink ref="N33" r:id="rId14" xr:uid="{0D4034E3-1CBE-4628-8642-4EA2CD999CF1}"/>
    <hyperlink ref="N5" r:id="rId15" xr:uid="{9C384783-77F8-4A1B-8D35-05BB25C1ECE0}"/>
    <hyperlink ref="N6" r:id="rId16" xr:uid="{13FC5A30-9C85-4384-A997-D42E3C57BC1F}"/>
    <hyperlink ref="N8" r:id="rId17" xr:uid="{6FF10624-F23F-4207-B823-F677AD10291E}"/>
    <hyperlink ref="N12" r:id="rId18" xr:uid="{9A6CD504-C8BB-446D-890D-E55381E0C0BA}"/>
    <hyperlink ref="N13" r:id="rId19" xr:uid="{FC46E751-ABD1-4AF1-9C9E-8EC2EF545C7E}"/>
    <hyperlink ref="N15" r:id="rId20" xr:uid="{68043B8A-A9BC-4242-9D1C-3AB1AA2F4781}"/>
    <hyperlink ref="N16" r:id="rId21" xr:uid="{3BDB3EBC-BD09-4014-A0F4-4AD0A086FCFC}"/>
    <hyperlink ref="N18" r:id="rId22" xr:uid="{19239EBC-918C-4044-8AD5-A984AB1A3CA6}"/>
    <hyperlink ref="N23" r:id="rId23" xr:uid="{B6EE7614-0301-48A7-935F-10D74049AADD}"/>
    <hyperlink ref="N24" r:id="rId24" xr:uid="{67DBEC78-7FE8-485F-8BD1-1F099C4E96E5}"/>
    <hyperlink ref="N25" r:id="rId25" xr:uid="{F8F85856-F441-4E37-99AA-3244C09AB2ED}"/>
    <hyperlink ref="N26" r:id="rId26" xr:uid="{E4CF6233-CA26-4DA5-B115-6EC51EDC655E}"/>
    <hyperlink ref="N27" r:id="rId27" xr:uid="{EB615106-9A7E-46DA-A759-5A230CF6523A}"/>
    <hyperlink ref="N28" r:id="rId28" xr:uid="{C6AF048C-8225-468C-8694-C9759520F94C}"/>
    <hyperlink ref="N29" r:id="rId29" xr:uid="{EF8D0A5E-1A25-406D-A781-29A6E83465F4}"/>
    <hyperlink ref="N37" r:id="rId30" xr:uid="{8F59D3F0-D41B-4C0A-AAA4-21CA72FCED68}"/>
    <hyperlink ref="N38" r:id="rId31" xr:uid="{BFBCE9FB-02BA-42B5-A88B-9A56F95632E9}"/>
    <hyperlink ref="N41" r:id="rId32" xr:uid="{C656C883-9B05-411C-95FB-9234241ED6AF}"/>
    <hyperlink ref="N42" r:id="rId33" xr:uid="{52DE1C45-C1BD-47C1-8102-A854413FFF47}"/>
    <hyperlink ref="N53" r:id="rId34" xr:uid="{8070E833-5DD7-4391-9BB2-709882639162}"/>
    <hyperlink ref="N14" r:id="rId35" xr:uid="{2145FC99-B1DB-4120-A858-ABC844315181}"/>
    <hyperlink ref="N34" r:id="rId36" xr:uid="{9E33DB48-4F03-4E6D-B7E9-6F609AE7F9AF}"/>
    <hyperlink ref="N35" r:id="rId37" xr:uid="{D4B40782-A0B3-4D47-A322-BA9D6D3BA038}"/>
    <hyperlink ref="N43" r:id="rId38" xr:uid="{555A6E61-58FD-4124-AA88-5623BC962493}"/>
    <hyperlink ref="N44" r:id="rId39" xr:uid="{8E5800DC-7DC6-4844-809C-DE6EDDC161A8}"/>
    <hyperlink ref="N11" r:id="rId40" xr:uid="{E215BEA5-F2FD-4427-B298-95B743EDF209}"/>
    <hyperlink ref="N10" r:id="rId41" xr:uid="{39FB1722-0964-4083-9DF7-1AB873FF7CD9}"/>
    <hyperlink ref="N60" r:id="rId42" xr:uid="{77C8FE1D-BC98-4D03-821C-6328CFA5B3A1}"/>
    <hyperlink ref="N56" r:id="rId43" xr:uid="{2831C9BC-87A7-4C75-B6F4-BB90E490DD05}"/>
    <hyperlink ref="N59" r:id="rId44" xr:uid="{D9EEC718-A546-4A81-8D27-76EEDC6D6C05}"/>
    <hyperlink ref="N58" r:id="rId45" xr:uid="{E02C2EB4-9CF2-4240-B295-0E982ADABFB9}"/>
    <hyperlink ref="N19" r:id="rId46" xr:uid="{E7BBB62B-C9A6-482E-A97B-2366F4D81174}"/>
    <hyperlink ref="N30" r:id="rId47" xr:uid="{47ED1D75-0C77-4B30-940B-74DFEAFF39A0}"/>
    <hyperlink ref="N40" r:id="rId48" xr:uid="{E3CF79E6-3EE8-4631-8E5D-CE9A9DCA18D7}"/>
    <hyperlink ref="G51" r:id="rId49" display="https://lcsc.com/brand-detail/11722.html" xr:uid="{420A7D9B-626E-476D-B0D0-9C5EA1D029F5}"/>
    <hyperlink ref="N39" r:id="rId50" xr:uid="{38E9B8DC-9785-4931-909D-8DB8092EC4A8}"/>
    <hyperlink ref="N48" r:id="rId51" xr:uid="{C37F5606-CA81-45E4-8870-AF04263BBCBB}"/>
    <hyperlink ref="N36" r:id="rId52" xr:uid="{91CD1089-4946-413F-8490-1C9A62A4E9B3}"/>
    <hyperlink ref="N9" r:id="rId53" xr:uid="{F5CE486E-6890-4D23-8803-9409534B1F1E}"/>
    <hyperlink ref="N52" r:id="rId54" xr:uid="{0BB57DAA-35E1-413A-8889-C1EBBE941024}"/>
    <hyperlink ref="N7" r:id="rId55" xr:uid="{61488B77-A017-4A27-9E63-14ADBD0E1046}"/>
    <hyperlink ref="N17" r:id="rId56" xr:uid="{2AB6D8E8-276C-42B1-AD49-091FF2A9E9FB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2395D4-8612-4128-B582-5445A674555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Q55</xm:sqref>
        </x14:conditionalFormatting>
        <x14:conditionalFormatting xmlns:xm="http://schemas.microsoft.com/office/excel/2006/main">
          <x14:cfRule type="dataBar" id="{59386793-ED03-4D1C-AC59-FAFE56F6558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Q47</xm:sqref>
        </x14:conditionalFormatting>
        <x14:conditionalFormatting xmlns:xm="http://schemas.microsoft.com/office/excel/2006/main">
          <x14:cfRule type="dataBar" id="{04BB34A9-6106-4AF7-9C8D-971B7E0848D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Q41</xm:sqref>
        </x14:conditionalFormatting>
        <x14:conditionalFormatting xmlns:xm="http://schemas.microsoft.com/office/excel/2006/main">
          <x14:cfRule type="dataBar" id="{B904F8B1-C734-488A-8F77-075941F2E2E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4129C94E-568E-4C41-8B9A-978AC22070E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E4464778-B8A1-458B-9352-A5954E13AA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N3:N5</xm:sqref>
        </x14:conditionalFormatting>
        <x14:conditionalFormatting xmlns:xm="http://schemas.microsoft.com/office/excel/2006/main">
          <x14:cfRule type="dataBar" id="{97AEA3F5-E50B-49E3-9903-3061380EF2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N45:N51</xm:sqref>
        </x14:conditionalFormatting>
        <x14:conditionalFormatting xmlns:xm="http://schemas.microsoft.com/office/excel/2006/main">
          <x14:cfRule type="dataBar" id="{9F90524E-44B5-483D-836B-B073442931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N20:N22</xm:sqref>
        </x14:conditionalFormatting>
        <x14:conditionalFormatting xmlns:xm="http://schemas.microsoft.com/office/excel/2006/main">
          <x14:cfRule type="dataBar" id="{28A10B96-BC77-49AD-8E87-691EA71509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N31:N35</xm:sqref>
        </x14:conditionalFormatting>
        <x14:conditionalFormatting xmlns:xm="http://schemas.microsoft.com/office/excel/2006/main">
          <x14:cfRule type="dataBar" id="{BB133C06-9598-4181-A155-C0E2B108E28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Q51</xm:sqref>
        </x14:conditionalFormatting>
        <x14:conditionalFormatting xmlns:xm="http://schemas.microsoft.com/office/excel/2006/main">
          <x14:cfRule type="dataBar" id="{2BB6DE04-BFDF-4017-B7DF-B413C2723F8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Q54</xm:sqref>
        </x14:conditionalFormatting>
        <x14:conditionalFormatting xmlns:xm="http://schemas.microsoft.com/office/excel/2006/main">
          <x14:cfRule type="dataBar" id="{A65C7F43-C1EE-4F8A-B1CE-DB74C01A48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P3:P61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Single Board</vt:lpstr>
      <vt:lpstr>Five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Faizan Ur Rahman</cp:lastModifiedBy>
  <dcterms:created xsi:type="dcterms:W3CDTF">2021-06-08T13:45:48Z</dcterms:created>
  <dcterms:modified xsi:type="dcterms:W3CDTF">2021-12-23T15:00:50Z</dcterms:modified>
</cp:coreProperties>
</file>