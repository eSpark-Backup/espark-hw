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2"/>
  <workbookPr/>
  <mc:AlternateContent xmlns:mc="http://schemas.openxmlformats.org/markup-compatibility/2006">
    <mc:Choice Requires="x15">
      <x15ac:absPath xmlns:x15ac="http://schemas.microsoft.com/office/spreadsheetml/2010/11/ac" url="D:\Github\eSpark-Hardware\BOM Formate\"/>
    </mc:Choice>
  </mc:AlternateContent>
  <xr:revisionPtr revIDLastSave="0" documentId="13_ncr:1_{2DADEDFF-BA3B-446D-BC10-6B82FB1228F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ingle 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60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1" i="1"/>
  <c r="N62" i="1"/>
  <c r="N63" i="1"/>
  <c r="N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3" i="1"/>
</calcChain>
</file>

<file path=xl/sharedStrings.xml><?xml version="1.0" encoding="utf-8"?>
<sst xmlns="http://schemas.openxmlformats.org/spreadsheetml/2006/main" count="512" uniqueCount="303">
  <si>
    <t>Description</t>
  </si>
  <si>
    <t>Designator</t>
  </si>
  <si>
    <t>Manufacturer</t>
  </si>
  <si>
    <t>Manufacturer Part Number</t>
  </si>
  <si>
    <t>0.1uF</t>
  </si>
  <si>
    <t>Cap0402</t>
  </si>
  <si>
    <t>C1005X5R1H104K050BB</t>
  </si>
  <si>
    <t>TDK</t>
  </si>
  <si>
    <t>47uF</t>
  </si>
  <si>
    <t>CAP CER 47UF 25V X5R 1206</t>
  </si>
  <si>
    <t>Cap1206</t>
  </si>
  <si>
    <t>C3216X5R1E476M160AC</t>
  </si>
  <si>
    <t>4.7uF</t>
  </si>
  <si>
    <t>33pF</t>
  </si>
  <si>
    <t>CAP CER 33PF 25V C0G/NP0 0402</t>
  </si>
  <si>
    <t>C33, C34, C35</t>
  </si>
  <si>
    <t>GRM1555C1E330JA01D</t>
  </si>
  <si>
    <t>Murata</t>
  </si>
  <si>
    <t>XZVG68W-2</t>
  </si>
  <si>
    <t>LED GREEN CLEAR CHIP SMD</t>
  </si>
  <si>
    <t>LED 0402</t>
  </si>
  <si>
    <t>SunLED</t>
  </si>
  <si>
    <t>DMG1012T-7</t>
  </si>
  <si>
    <t>MOSFET N-CH 20V 630MA SOT523</t>
  </si>
  <si>
    <t>SOT-523</t>
  </si>
  <si>
    <t>Diodes</t>
  </si>
  <si>
    <t>0679100002</t>
  </si>
  <si>
    <t>CONN PCI EXP MINI FEMALE 52POS</t>
  </si>
  <si>
    <t>J1</t>
  </si>
  <si>
    <t>Molex</t>
  </si>
  <si>
    <t>TF31-22S-0.5SH(800)</t>
  </si>
  <si>
    <t>CONN FFC 22POS 0.50MM SMD</t>
  </si>
  <si>
    <t>J3, J5</t>
  </si>
  <si>
    <t>Hirose</t>
  </si>
  <si>
    <t>1565917-4</t>
  </si>
  <si>
    <t>CONN SKT SODIMM 200POS R/A SMD</t>
  </si>
  <si>
    <t>J4</t>
  </si>
  <si>
    <t>TE Connectivity</t>
  </si>
  <si>
    <t>114-00841-68</t>
  </si>
  <si>
    <t>CONN MICRO SD CARD PUSH-PULL R/A</t>
  </si>
  <si>
    <t>J6</t>
  </si>
  <si>
    <t>10118192-0001LF</t>
  </si>
  <si>
    <t>CONN RCPT USB2.0 MICRO B SMD R/A</t>
  </si>
  <si>
    <t>J10</t>
  </si>
  <si>
    <t>Amphenol FCI</t>
  </si>
  <si>
    <t>61400416021</t>
  </si>
  <si>
    <t>CONN RCPT USB2.0 TYPEA 4POS R/A</t>
  </si>
  <si>
    <t>J12</t>
  </si>
  <si>
    <t>Wurth Electronics</t>
  </si>
  <si>
    <t>47K</t>
  </si>
  <si>
    <t>RES SMD 47K OHM 1% 1/5W 0402</t>
  </si>
  <si>
    <t>R20, R21, R31</t>
  </si>
  <si>
    <t>Res0402</t>
  </si>
  <si>
    <t>RCS040247K0FKED</t>
  </si>
  <si>
    <t>Vishay Dale</t>
  </si>
  <si>
    <t>1.8K</t>
  </si>
  <si>
    <t>RES SMD 1.8K OHM 1% 1/5W 0402</t>
  </si>
  <si>
    <t>R23, R24, R25, R26</t>
  </si>
  <si>
    <t>RCS04021K80FKED</t>
  </si>
  <si>
    <t>0R</t>
  </si>
  <si>
    <t>RES SMD 0 OHM JUMPER 1/5W 0402</t>
  </si>
  <si>
    <t>RCS04020000Z0ED</t>
  </si>
  <si>
    <t>100K</t>
  </si>
  <si>
    <t>RES 100K OHM 1% 1/5W 0402</t>
  </si>
  <si>
    <t>SR0402FR-7T100KL</t>
  </si>
  <si>
    <t>Yageo</t>
  </si>
  <si>
    <t>470R</t>
  </si>
  <si>
    <t>RES SMD 470 OHM 1% 1/5W 0402</t>
  </si>
  <si>
    <t>ERJ-PA2F4700X</t>
  </si>
  <si>
    <t>Panasonic</t>
  </si>
  <si>
    <t>15K</t>
  </si>
  <si>
    <t>RES SMD 15K OHM 1% 1/5W 0402</t>
  </si>
  <si>
    <t>R34</t>
  </si>
  <si>
    <t>ERJ-PA2F1502X</t>
  </si>
  <si>
    <t>Solder Bridge</t>
  </si>
  <si>
    <t>Solder Bridge ON</t>
  </si>
  <si>
    <t>SB1, SB2, SB3, SB4</t>
  </si>
  <si>
    <t>U6</t>
  </si>
  <si>
    <t>S. No.</t>
  </si>
  <si>
    <t>Components</t>
  </si>
  <si>
    <t>Footprint (Package)</t>
  </si>
  <si>
    <t>Alternate</t>
  </si>
  <si>
    <t>Value</t>
  </si>
  <si>
    <t>Quantity (Per Board)</t>
  </si>
  <si>
    <t>DigiKey Link</t>
  </si>
  <si>
    <t>Unit Cost(1)</t>
  </si>
  <si>
    <t>Total Cost(1)</t>
  </si>
  <si>
    <t>Remarks</t>
  </si>
  <si>
    <t>Capacitor</t>
  </si>
  <si>
    <t>Diode</t>
  </si>
  <si>
    <t>Resistor</t>
  </si>
  <si>
    <t>Ics</t>
  </si>
  <si>
    <t>Connector</t>
  </si>
  <si>
    <t>ON Semiconductor</t>
  </si>
  <si>
    <t>FSUSB42UMX</t>
  </si>
  <si>
    <t>Digikey</t>
  </si>
  <si>
    <t>Mouser</t>
  </si>
  <si>
    <t>DMG1012TQ-7</t>
  </si>
  <si>
    <t>1827341-4</t>
  </si>
  <si>
    <t>Custom</t>
  </si>
  <si>
    <t>-------------</t>
  </si>
  <si>
    <t>DO NOT Mount</t>
  </si>
  <si>
    <t xml:space="preserve">Total Component Cost </t>
  </si>
  <si>
    <t>Single Board Cost</t>
  </si>
  <si>
    <t>CAP CER 0.1UF 50V X5R 0402</t>
  </si>
  <si>
    <t>C5, C9, C13, C17, C23, C32</t>
  </si>
  <si>
    <t>CAP CER 4.7UF 50V X7R 1206</t>
  </si>
  <si>
    <t>C3216X7R1H475K160AC</t>
  </si>
  <si>
    <t>----------</t>
  </si>
  <si>
    <t>CAP CER 0.22UF 50V X7R 1206</t>
  </si>
  <si>
    <t>C2, C3</t>
  </si>
  <si>
    <t>VJ1206Y224KXAMT</t>
  </si>
  <si>
    <t>Vishay Vitramon</t>
  </si>
  <si>
    <t>CAP CER 1UF 50V X5R 0402</t>
  </si>
  <si>
    <t>UMK105CBJ105MV-F</t>
  </si>
  <si>
    <t>Taiyo Yuden</t>
  </si>
  <si>
    <t>220nF</t>
  </si>
  <si>
    <t>1uF</t>
  </si>
  <si>
    <t>CAP CER 22UF 25V X5R 1206</t>
  </si>
  <si>
    <t>C8</t>
  </si>
  <si>
    <t>C3216X5R1E226M160AB</t>
  </si>
  <si>
    <t>CAP ALUM 10UF 20% 25V SMD</t>
  </si>
  <si>
    <t>C12</t>
  </si>
  <si>
    <t>22uF</t>
  </si>
  <si>
    <t>10uF</t>
  </si>
  <si>
    <t>CAP CER 10UF 35V X5R 0805</t>
  </si>
  <si>
    <t>C16, C20</t>
  </si>
  <si>
    <t>Cap0805</t>
  </si>
  <si>
    <t>GRM21BR6YA106ME43L</t>
  </si>
  <si>
    <t>CAP ALUM 470UF 20% 25V SMD</t>
  </si>
  <si>
    <t>---------</t>
  </si>
  <si>
    <t>470uF</t>
  </si>
  <si>
    <t>DIODE SCHOTTKY 40V 3A SMA</t>
  </si>
  <si>
    <t>D5, D6</t>
  </si>
  <si>
    <t>DO-214AC</t>
  </si>
  <si>
    <t>CMSH3-40MA TR13 PBFREE</t>
  </si>
  <si>
    <t>Central Semiconductor</t>
  </si>
  <si>
    <t>Diode Switching 50V 1A 2-Pin SMA T/R</t>
  </si>
  <si>
    <t>D7</t>
  </si>
  <si>
    <t>SMA</t>
  </si>
  <si>
    <t>S1A-13-F</t>
  </si>
  <si>
    <t>AMPHENOL ICC</t>
  </si>
  <si>
    <t>R1, R2, R5, R32, R35, R36, R37, R38</t>
  </si>
  <si>
    <t>R27, R28, R29</t>
  </si>
  <si>
    <t>RES SMD 24.9K OHM 1% 1/5W 0402</t>
  </si>
  <si>
    <t>R3</t>
  </si>
  <si>
    <t>RCS040224K9FKED</t>
  </si>
  <si>
    <t>RES SMD 301K OHM 1% 1/5W 0402</t>
  </si>
  <si>
    <t>R4</t>
  </si>
  <si>
    <t>RCS0402301KFKED</t>
  </si>
  <si>
    <t>RES 0.05 OHM 1% 1/2W 1206</t>
  </si>
  <si>
    <t>R6</t>
  </si>
  <si>
    <t>Res1206</t>
  </si>
  <si>
    <t>CSR1206FK50L0</t>
  </si>
  <si>
    <t>Stackpole Electronics</t>
  </si>
  <si>
    <t>RES SMD 536K OHM 1% 1/10W 0402</t>
  </si>
  <si>
    <t>R7</t>
  </si>
  <si>
    <t>ERJ-2RKF5363X</t>
  </si>
  <si>
    <t>RES SMD 453K OHM 1% 1/10W 0402</t>
  </si>
  <si>
    <t>R8</t>
  </si>
  <si>
    <t>ERJ-2RKF4533X</t>
  </si>
  <si>
    <t>RES SMD 5.1 KOHM 1% 1/5W 0402</t>
  </si>
  <si>
    <t>R9, R10, R11, R12</t>
  </si>
  <si>
    <t>ERJ-PA2F5101X</t>
  </si>
  <si>
    <t>RES 10K OHM 1% 1/5W 0402</t>
  </si>
  <si>
    <t>SR0402FR-7T10KL</t>
  </si>
  <si>
    <t>RES SMD 300K OHM 1% 1/5W 0402</t>
  </si>
  <si>
    <t>R16, R17</t>
  </si>
  <si>
    <t>RCS0402300KFKED</t>
  </si>
  <si>
    <t>24.9K</t>
  </si>
  <si>
    <t>301K</t>
  </si>
  <si>
    <t>0.05R</t>
  </si>
  <si>
    <t>536K</t>
  </si>
  <si>
    <t>453K</t>
  </si>
  <si>
    <t>5.1K</t>
  </si>
  <si>
    <t>10K</t>
  </si>
  <si>
    <t>300K</t>
  </si>
  <si>
    <t>Mosfet</t>
  </si>
  <si>
    <t>-------</t>
  </si>
  <si>
    <t>MOSFET N-CH 50V 200MA SOT-23</t>
  </si>
  <si>
    <t>BSS138LT1G</t>
  </si>
  <si>
    <t>FIXED IND 6.8UH 5A 48 MOHM SMD</t>
  </si>
  <si>
    <t>L1</t>
  </si>
  <si>
    <t>0630CDMCCDS-6R8MC</t>
  </si>
  <si>
    <t>Sumida</t>
  </si>
  <si>
    <t>FIXED IND 10UH 2.5A 43.7 MOHM</t>
  </si>
  <si>
    <t>L2</t>
  </si>
  <si>
    <t>SLF10145T-100M2R5-PF</t>
  </si>
  <si>
    <t>Inductor</t>
  </si>
  <si>
    <t>6.8uH</t>
  </si>
  <si>
    <t>10uH</t>
  </si>
  <si>
    <t>AUTOMOTIVE 36-V, 4-A SYNCHRONOUS</t>
  </si>
  <si>
    <t>U1</t>
  </si>
  <si>
    <t>LM60440AQRPKRQ1</t>
  </si>
  <si>
    <t>Texas Instruments</t>
  </si>
  <si>
    <t>IC REG LINEAR 3.3V 3A TO263-3</t>
  </si>
  <si>
    <t>U2</t>
  </si>
  <si>
    <t>MIC29300-3.3WU-TR</t>
  </si>
  <si>
    <t>Microchip</t>
  </si>
  <si>
    <t>IC REG LINEAR 1.8V 300MA 4UDFN</t>
  </si>
  <si>
    <t>U3</t>
  </si>
  <si>
    <t>NCP114BMX180TCG</t>
  </si>
  <si>
    <t>U4</t>
  </si>
  <si>
    <t>LT3652EDD#PBF</t>
  </si>
  <si>
    <t>MOSFET N/P-CH 30V 8SOIC</t>
  </si>
  <si>
    <t>U7</t>
  </si>
  <si>
    <t>IRF7319TRPBF</t>
  </si>
  <si>
    <t>International Rectifier</t>
  </si>
  <si>
    <t xml:space="preserve">13-WQFN-HR (3x2)
</t>
  </si>
  <si>
    <t xml:space="preserve">TO-263-3 </t>
  </si>
  <si>
    <t>4UDFN</t>
  </si>
  <si>
    <t>Analog Devices</t>
  </si>
  <si>
    <t xml:space="preserve">IC BATT CHG MULTI-CHEM 12DFN
</t>
  </si>
  <si>
    <t xml:space="preserve">12-DFN (3x3)
</t>
  </si>
  <si>
    <t xml:space="preserve">8-SO
</t>
  </si>
  <si>
    <t>J15</t>
  </si>
  <si>
    <t>CONN HEADER VERT 3POS 2.5MM</t>
  </si>
  <si>
    <t>J16</t>
  </si>
  <si>
    <t>B3B-XH-A(LF)(SN)</t>
  </si>
  <si>
    <t>JST</t>
  </si>
  <si>
    <t>C1, C14, C15, C28, CF5</t>
  </si>
  <si>
    <t>C4, C10, C11, C21, C36, CF3, CF4</t>
  </si>
  <si>
    <t>C6, C7, C24, C29, C30, C31</t>
  </si>
  <si>
    <t>C18, C19, CF6</t>
  </si>
  <si>
    <t>LED2, LED3, LED4, LEDx1</t>
  </si>
  <si>
    <t>Q1, Q2, Q3</t>
  </si>
  <si>
    <t>Q4, Q5</t>
  </si>
  <si>
    <t>SOT-23</t>
  </si>
  <si>
    <t>R18, R39, R40, R41, R42, RF3, RF7, RF10, RF11</t>
  </si>
  <si>
    <t>R33, RF1</t>
  </si>
  <si>
    <t>RC1</t>
  </si>
  <si>
    <t>Res0603</t>
  </si>
  <si>
    <t>RTT032214FTP</t>
  </si>
  <si>
    <t>RES SMD 1M OHM 5% 1/16W 0402</t>
  </si>
  <si>
    <t>RC2</t>
  </si>
  <si>
    <t>AF0402JR-071ML</t>
  </si>
  <si>
    <t>IC USB SWITCH DPDT 10UMLP</t>
  </si>
  <si>
    <t>10UMLP</t>
  </si>
  <si>
    <t>--------</t>
  </si>
  <si>
    <t>IC ADC 16BIT SIGMA-DELTA 10VSSOP</t>
  </si>
  <si>
    <t>U8</t>
  </si>
  <si>
    <t>ADS1115IDGSR</t>
  </si>
  <si>
    <t>10VSSOP</t>
  </si>
  <si>
    <t>J13, J14, J17</t>
  </si>
  <si>
    <t>CONN HEADER VERT 3POS 2.54MM</t>
  </si>
  <si>
    <t>PF1, PF2</t>
  </si>
  <si>
    <t>CONN HEADER VERT 2POS 2.54MM</t>
  </si>
  <si>
    <t>PF3</t>
  </si>
  <si>
    <t>61300311121</t>
  </si>
  <si>
    <t>61300211121</t>
  </si>
  <si>
    <t>------</t>
  </si>
  <si>
    <t>Test Point ON</t>
  </si>
  <si>
    <t>P1, P2, P3, P4, P5, P6, P7, P8, P9, P10, P11, P12, P13, P14, P15, P16, P17, P18, P19, P20, P21, P22, P23, P24, P25, P26, P27, P28, P29, P30, P31, P32</t>
  </si>
  <si>
    <t>TEST POINT</t>
  </si>
  <si>
    <t xml:space="preserve">RC0402JR-071ML
</t>
  </si>
  <si>
    <t>1M</t>
  </si>
  <si>
    <t>2.21M</t>
  </si>
  <si>
    <t xml:space="preserve">RC0603FR-072M21L
</t>
  </si>
  <si>
    <t xml:space="preserve">GMK212BBJ106MG-T
</t>
  </si>
  <si>
    <t xml:space="preserve">0402N330J250CT
</t>
  </si>
  <si>
    <t>CRCW040210K0JNEDC</t>
  </si>
  <si>
    <t>DIgikey</t>
  </si>
  <si>
    <t xml:space="preserve">RES SMD 2.21M OHM 1% 1/10W 0603
</t>
  </si>
  <si>
    <t>-----------</t>
  </si>
  <si>
    <t>Additional Components</t>
  </si>
  <si>
    <t>Arducam</t>
  </si>
  <si>
    <t>OV5647 Module</t>
  </si>
  <si>
    <t>Amazon</t>
  </si>
  <si>
    <t>Camera Day + Night Vision w/Cables</t>
  </si>
  <si>
    <t>Battery LiFePO4</t>
  </si>
  <si>
    <t>2-Cell LiFePO4</t>
  </si>
  <si>
    <t>Compute Module CM3+</t>
  </si>
  <si>
    <t>CM3+/32GB</t>
  </si>
  <si>
    <t>Raspberry Pi</t>
  </si>
  <si>
    <t>4G Modem Module</t>
  </si>
  <si>
    <t>EG25GGB-MINIPCIE</t>
  </si>
  <si>
    <t>Quectel</t>
  </si>
  <si>
    <t>Twilio Embedded SIM</t>
  </si>
  <si>
    <t>Embedded (MFF2)</t>
  </si>
  <si>
    <t>Twilio</t>
  </si>
  <si>
    <t>Will be sourced directly from Twilio using Client's Account</t>
  </si>
  <si>
    <t>UFL 4G LTE Antenna</t>
  </si>
  <si>
    <t>DigiKey</t>
  </si>
  <si>
    <t>quotaton pending. In contact with supplier</t>
  </si>
  <si>
    <t>Camera Lense</t>
  </si>
  <si>
    <t>Ribbon Cable</t>
  </si>
  <si>
    <t>------------</t>
  </si>
  <si>
    <t>M40180H10</t>
  </si>
  <si>
    <t>Link</t>
  </si>
  <si>
    <t>EEEFK1E100R</t>
  </si>
  <si>
    <t>EEE-FT1E471GP</t>
  </si>
  <si>
    <t>MC-318</t>
  </si>
  <si>
    <t>X10B25U15T</t>
  </si>
  <si>
    <t>SOFNG</t>
  </si>
  <si>
    <t>USB - Type C Female 24 SMD USB Connectors RoHS</t>
  </si>
  <si>
    <t>Contact,Top 15 0.039"（1.00mm） 0.098"（2.50mm） Slide Lock SMD FFC, FPC Connectors RoHS</t>
  </si>
  <si>
    <t>XKB Connectivity</t>
  </si>
  <si>
    <t>From local supplier</t>
  </si>
  <si>
    <t>Panasonic Electronic Components</t>
  </si>
  <si>
    <t xml:space="preserve">Alternate part Please check Footprint </t>
  </si>
  <si>
    <t>U10</t>
  </si>
  <si>
    <t>Desired Quantity Single Board</t>
  </si>
  <si>
    <t>Bill of Material (BOM) for Reference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</si>
</sst>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00"/>
    <numFmt numFmtId="165" formatCode="_-[$$-409]* #,##0.00_ ;_-[$$-409]* \-#,##0.00\ ;_-[$$-409]* &quot;-&quot;??_ ;_-@_ 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8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0" fillId="0" borderId="0" xfId="0" applyFont="1"/>
    <xf numFmtId="0" fontId="4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1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6" xfId="1" quotePrefix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6" xfId="0" quotePrefix="1" applyFont="1" applyBorder="1" applyAlignment="1">
      <alignment horizontal="center" vertical="center" wrapText="1"/>
    </xf>
    <xf numFmtId="0" fontId="7" fillId="0" borderId="6" xfId="0" quotePrefix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7" fillId="0" borderId="6" xfId="0" quotePrefix="1" applyFont="1" applyBorder="1" applyAlignment="1">
      <alignment horizontal="center" vertical="center"/>
    </xf>
    <xf numFmtId="164" fontId="7" fillId="0" borderId="6" xfId="0" applyNumberFormat="1" applyFont="1" applyFill="1" applyBorder="1" applyAlignment="1">
      <alignment horizontal="center" vertical="center"/>
    </xf>
    <xf numFmtId="0" fontId="4" fillId="4" borderId="6" xfId="0" quotePrefix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 wrapText="1"/>
    </xf>
    <xf numFmtId="0" fontId="10" fillId="3" borderId="1" xfId="0" quotePrefix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4" borderId="6" xfId="0" quotePrefix="1" applyFont="1" applyFill="1" applyBorder="1" applyAlignment="1">
      <alignment horizontal="center" vertical="center" wrapText="1"/>
    </xf>
    <xf numFmtId="0" fontId="10" fillId="3" borderId="1" xfId="0" quotePrefix="1" applyFont="1" applyFill="1" applyBorder="1" applyAlignment="1">
      <alignment horizontal="left" vertical="center" wrapText="1"/>
    </xf>
    <xf numFmtId="0" fontId="5" fillId="0" borderId="1" xfId="1" quotePrefix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5" borderId="1" xfId="0" quotePrefix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wrapText="1"/>
    </xf>
    <xf numFmtId="0" fontId="9" fillId="4" borderId="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4" borderId="1" xfId="0" quotePrefix="1" applyFont="1" applyFill="1" applyBorder="1"/>
    <xf numFmtId="1" fontId="7" fillId="0" borderId="1" xfId="0" applyNumberFormat="1" applyFont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vertical="center" wrapText="1"/>
    </xf>
    <xf numFmtId="0" fontId="4" fillId="4" borderId="1" xfId="0" quotePrefix="1" applyFont="1" applyFill="1" applyBorder="1" applyAlignment="1">
      <alignment horizontal="left" vertical="center"/>
    </xf>
    <xf numFmtId="0" fontId="7" fillId="4" borderId="1" xfId="0" quotePrefix="1" applyFont="1" applyFill="1" applyBorder="1" applyAlignment="1">
      <alignment vertical="center"/>
    </xf>
    <xf numFmtId="0" fontId="4" fillId="4" borderId="1" xfId="0" quotePrefix="1" applyFont="1" applyFill="1" applyBorder="1" applyAlignment="1"/>
    <xf numFmtId="0" fontId="7" fillId="0" borderId="1" xfId="0" quotePrefix="1" applyFont="1" applyBorder="1" applyAlignment="1">
      <alignment vertical="center" wrapText="1"/>
    </xf>
    <xf numFmtId="0" fontId="4" fillId="0" borderId="1" xfId="0" quotePrefix="1" applyFont="1" applyBorder="1"/>
    <xf numFmtId="0" fontId="4" fillId="5" borderId="1" xfId="0" quotePrefix="1" applyFont="1" applyFill="1" applyBorder="1"/>
    <xf numFmtId="0" fontId="14" fillId="5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wrapText="1"/>
    </xf>
    <xf numFmtId="0" fontId="4" fillId="0" borderId="1" xfId="0" quotePrefix="1" applyFont="1" applyBorder="1" applyAlignment="1"/>
    <xf numFmtId="165" fontId="11" fillId="3" borderId="1" xfId="0" applyNumberFormat="1" applyFont="1" applyFill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4" fillId="4" borderId="8" xfId="0" quotePrefix="1" applyFont="1" applyFill="1" applyBorder="1"/>
    <xf numFmtId="0" fontId="7" fillId="4" borderId="8" xfId="0" quotePrefix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0" fontId="8" fillId="0" borderId="8" xfId="1" quotePrefix="1" applyFont="1" applyBorder="1" applyAlignment="1">
      <alignment horizontal="center" vertical="center"/>
    </xf>
    <xf numFmtId="165" fontId="11" fillId="4" borderId="8" xfId="0" applyNumberFormat="1" applyFont="1" applyFill="1" applyBorder="1" applyAlignment="1">
      <alignment horizontal="center" vertical="center"/>
    </xf>
    <xf numFmtId="0" fontId="4" fillId="4" borderId="6" xfId="0" quotePrefix="1" applyFont="1" applyFill="1" applyBorder="1"/>
    <xf numFmtId="1" fontId="7" fillId="0" borderId="6" xfId="0" applyNumberFormat="1" applyFont="1" applyBorder="1" applyAlignment="1">
      <alignment horizontal="center" vertical="center"/>
    </xf>
    <xf numFmtId="0" fontId="7" fillId="4" borderId="8" xfId="0" quotePrefix="1" applyFont="1" applyFill="1" applyBorder="1" applyAlignment="1">
      <alignment vertical="center" wrapText="1"/>
    </xf>
    <xf numFmtId="0" fontId="7" fillId="0" borderId="8" xfId="0" quotePrefix="1" applyFont="1" applyBorder="1" applyAlignment="1">
      <alignment horizontal="center" vertical="center" wrapText="1"/>
    </xf>
    <xf numFmtId="0" fontId="7" fillId="0" borderId="8" xfId="0" quotePrefix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64" fontId="7" fillId="0" borderId="8" xfId="0" applyNumberFormat="1" applyFont="1" applyFill="1" applyBorder="1" applyAlignment="1">
      <alignment horizontal="center" vertical="center"/>
    </xf>
    <xf numFmtId="0" fontId="7" fillId="0" borderId="8" xfId="0" applyFont="1" applyBorder="1"/>
    <xf numFmtId="0" fontId="7" fillId="4" borderId="6" xfId="0" quotePrefix="1" applyFont="1" applyFill="1" applyBorder="1" applyAlignment="1">
      <alignment vertical="center" wrapText="1"/>
    </xf>
    <xf numFmtId="0" fontId="7" fillId="0" borderId="6" xfId="0" applyFont="1" applyBorder="1"/>
    <xf numFmtId="0" fontId="4" fillId="4" borderId="8" xfId="0" quotePrefix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5" fontId="11" fillId="4" borderId="6" xfId="0" applyNumberFormat="1" applyFont="1" applyFill="1" applyBorder="1" applyAlignment="1">
      <alignment horizontal="center" vertical="center"/>
    </xf>
    <xf numFmtId="0" fontId="7" fillId="0" borderId="8" xfId="0" quotePrefix="1" applyFont="1" applyBorder="1" applyAlignment="1">
      <alignment vertical="center" wrapText="1"/>
    </xf>
    <xf numFmtId="0" fontId="4" fillId="0" borderId="8" xfId="0" quotePrefix="1" applyFont="1" applyBorder="1"/>
    <xf numFmtId="0" fontId="8" fillId="0" borderId="8" xfId="1" applyFont="1" applyBorder="1" applyAlignment="1">
      <alignment horizontal="center" vertical="center"/>
    </xf>
    <xf numFmtId="0" fontId="10" fillId="3" borderId="6" xfId="0" quotePrefix="1" applyFont="1" applyFill="1" applyBorder="1" applyAlignment="1">
      <alignment horizontal="left" vertical="center" wrapText="1"/>
    </xf>
    <xf numFmtId="0" fontId="10" fillId="3" borderId="6" xfId="0" quotePrefix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0" fontId="10" fillId="3" borderId="6" xfId="0" quotePrefix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164" fontId="10" fillId="3" borderId="6" xfId="0" quotePrefix="1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/>
    <xf numFmtId="0" fontId="7" fillId="3" borderId="6" xfId="0" applyFont="1" applyFill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w%C3%BCrth-elektronik/61400416021/2060602" TargetMode="External"/><Relationship Id="rId18" Type="http://schemas.openxmlformats.org/officeDocument/2006/relationships/hyperlink" Target="https://www.digikey.com/en/products/detail/vishay-vitramon/VJ1206Y224KXAMT/2776712?s=N4IgTCBcDaIGoCkCMYAMA2AmmMAWA0gBoCCAsgCogC6AvkA" TargetMode="External"/><Relationship Id="rId26" Type="http://schemas.openxmlformats.org/officeDocument/2006/relationships/hyperlink" Target="https://www.digikey.com/en/products/detail/stackpole-electronics-inc/CSR1206FK50L0/1646095?s=N4IgTCBcDaIMIGUBKBGMAGAbAMQNIFZ0AZdEAXQF8g" TargetMode="External"/><Relationship Id="rId39" Type="http://schemas.openxmlformats.org/officeDocument/2006/relationships/hyperlink" Target="https://www.digikey.com/en/products/detail/w%C3%BCrth-elektronik/61300211121/4846823?s=N4IgTCBcDaIGwEYDMAGFYGYyAugXyA" TargetMode="External"/><Relationship Id="rId21" Type="http://schemas.openxmlformats.org/officeDocument/2006/relationships/hyperlink" Target="https://www.digikey.com/en/products/detail/kemet/EDK106M025A9BAA/2712595?s=N4IgTCBcDaIKIBEDSBGADANgLJrAVgEEBOAIQIJAF0BfIA" TargetMode="External"/><Relationship Id="rId34" Type="http://schemas.openxmlformats.org/officeDocument/2006/relationships/hyperlink" Target="https://www.digikey.com/en/products/detail/on-semiconductor/NCP114BMX180TCG/5257673?s=N4IgTCBcDaIHIGEAKBGFAWAQgWQBooA4AGAFQQHEQBdAXyA" TargetMode="External"/><Relationship Id="rId42" Type="http://schemas.openxmlformats.org/officeDocument/2006/relationships/hyperlink" Target="https://www.digikey.com/en/products/detail/ohmite/JR0402X20E/10233370" TargetMode="External"/><Relationship Id="rId47" Type="http://schemas.openxmlformats.org/officeDocument/2006/relationships/hyperlink" Target="https://www.amazon.com/Arducam-Day-Night-Raspberry-Automatic-Switching/dp/B07X1VGQSL" TargetMode="External"/><Relationship Id="rId50" Type="http://schemas.openxmlformats.org/officeDocument/2006/relationships/hyperlink" Target="https://www.twilio.com/console/iot/orders/new" TargetMode="External"/><Relationship Id="rId55" Type="http://schemas.openxmlformats.org/officeDocument/2006/relationships/hyperlink" Target="https://www.uctronics.com/camera-modules/camera-accessories/ribbon-fpc-15-pin-flat-cable-50cm-for-raspberry-pi-camera-p-1959l-300.html" TargetMode="External"/><Relationship Id="rId7" Type="http://schemas.openxmlformats.org/officeDocument/2006/relationships/hyperlink" Target="https://www.digikey.com/en/products/detail/panasonic-electronic-components/ERJ-PA2F4700X/5402648?s=N4IgTCBcDaIKICUBSBaACgQTAMQCwHYAGQgDRAF0BfIA" TargetMode="External"/><Relationship Id="rId2" Type="http://schemas.openxmlformats.org/officeDocument/2006/relationships/hyperlink" Target="https://www.digikey.com/en/products/detail/tdk-corporation/C3216X5R1E476M160AC/2792260?s=N4IgTCBcDaIMIGYwEYBsANArAJWQUQBYB2VAWTQAYBBOEAXQF8g" TargetMode="External"/><Relationship Id="rId16" Type="http://schemas.openxmlformats.org/officeDocument/2006/relationships/hyperlink" Target="https://www.digikey.com/en/products/detail/tdk-corporation/C1005X5R1H104K050BB/2443420?s=N4IgTCBcDaIMIEYAMSCsANVAlBAJZALANJpIBCZIAugL5A" TargetMode="External"/><Relationship Id="rId29" Type="http://schemas.openxmlformats.org/officeDocument/2006/relationships/hyperlink" Target="https://www.digikey.com/en/products/detail/panasonic-electronic-components/ERJ-PA2F5101X/9815254?s=N4IgTCBcDaIKICUBSBaACgQTAMQKwEYAGfADRAF0BfIA" TargetMode="External"/><Relationship Id="rId11" Type="http://schemas.openxmlformats.org/officeDocument/2006/relationships/hyperlink" Target="https://www.digikey.com/en/products/detail/amphenol-icc-commercial-products/114-00841-68/2187086" TargetMode="External"/><Relationship Id="rId24" Type="http://schemas.openxmlformats.org/officeDocument/2006/relationships/hyperlink" Target="https://www.digikey.com/en/products/detail/vishay-dale/RCS040224K9FKED/5867846?s=N4IgTCBcDaIEoGEDKAGALCsY0GkCcAYjgKIAiIAugL5A" TargetMode="External"/><Relationship Id="rId32" Type="http://schemas.openxmlformats.org/officeDocument/2006/relationships/hyperlink" Target="https://www.digikey.com/en/products/detail/tdk-corporation/SLF10145T-100M2R5-PF/755327?s=N4IgTCBcDaIMoBkBiBGADCgLAVgCoFp00BZMAJW3wAUkQBdAXyA" TargetMode="External"/><Relationship Id="rId37" Type="http://schemas.openxmlformats.org/officeDocument/2006/relationships/hyperlink" Target="https://www.digikey.com/en/products/detail/yageo/RC0603FR-072M21L/727019" TargetMode="External"/><Relationship Id="rId40" Type="http://schemas.openxmlformats.org/officeDocument/2006/relationships/hyperlink" Target="https://www.digikey.com/en/products/detail/taiyo-yuden/GMK212BBJ106MG-T/6563487" TargetMode="External"/><Relationship Id="rId45" Type="http://schemas.openxmlformats.org/officeDocument/2006/relationships/hyperlink" Target="https://www.digikey.com/en/products/detail/on-semiconductor/BSS138LT1G/918376" TargetMode="External"/><Relationship Id="rId53" Type="http://schemas.openxmlformats.org/officeDocument/2006/relationships/hyperlink" Target="https://www.digikey.com/en/products/detail/IRF7319TRPBF/IRF7319PBFCT-ND/827930?utm_campaign=buynow&amp;utm_medium=aggregator&amp;curr=usd&amp;utm_source=octopart" TargetMode="External"/><Relationship Id="rId5" Type="http://schemas.openxmlformats.org/officeDocument/2006/relationships/hyperlink" Target="https://www.digikey.com/en/products/detail/vishay-dale/RCS04021K80FKED/5867723?s=N4IgTCBcDaIEoGEDKAGALCsBGA0gDhQDEcBRAERAF0BfIA" TargetMode="External"/><Relationship Id="rId10" Type="http://schemas.openxmlformats.org/officeDocument/2006/relationships/hyperlink" Target="https://www.digikey.com/en/products/detail/hirose-electric-co-ltd/TF31-22S-0-5SH-800/11204757?s=N4IgTCBcDaICoDEDMBGAtGMBlNAGAdAKxYASAFABy64CUIAugL5A" TargetMode="External"/><Relationship Id="rId19" Type="http://schemas.openxmlformats.org/officeDocument/2006/relationships/hyperlink" Target="https://www.digikey.com/en/products/detail/taiyo-yuden/UMK105CBJ105MV-F/7403871?s=N4IgTCBcDaIKoFkDSBGADAVgMICEBS6GCAagLQBiIAugL5A" TargetMode="External"/><Relationship Id="rId31" Type="http://schemas.openxmlformats.org/officeDocument/2006/relationships/hyperlink" Target="https://www.digikey.com/en/products/detail/sumida-america-components-inc/0630CDMCCDS-6R8MC/5812459?s=N4IgTCBcDaIAwDYDMcDCARAsqjBlAtAgEoAc2IAugL5A" TargetMode="External"/><Relationship Id="rId44" Type="http://schemas.openxmlformats.org/officeDocument/2006/relationships/hyperlink" Target="https://eu.mouser.com/ProductDetail/Texas-Instruments/ADS1115IDGSR?qs=IK5e5L0zOXjKCJoVMhYO%2FQ%3D%3D" TargetMode="External"/><Relationship Id="rId52" Type="http://schemas.openxmlformats.org/officeDocument/2006/relationships/hyperlink" Target="https://www.digikey.com/en/products/detail/MIC29300-3.3WU-TR/MIC29300-3.3WU-DKR-ND/8603378?utm_campaign=buynow&amp;utm_medium=aggregator&amp;curr=usd&amp;utm_source=octopart" TargetMode="External"/><Relationship Id="rId4" Type="http://schemas.openxmlformats.org/officeDocument/2006/relationships/hyperlink" Target="https://www.digikey.com/en/products/detail/vishay-dale/RCS040247K0FKED/5867043?s=N4IgTCBcDaIEoGEDKAGALCsaDsBpFAYrgKIAiIAugL5A" TargetMode="External"/><Relationship Id="rId9" Type="http://schemas.openxmlformats.org/officeDocument/2006/relationships/hyperlink" Target="https://eu.mouser.com/ProductDetail/Molex/67910-0002?qs=%2Fha2pyFaduj5ZDF2BvlhYeQnahgE%252BfnedFhUIuzLYAQ%3D" TargetMode="External"/><Relationship Id="rId14" Type="http://schemas.openxmlformats.org/officeDocument/2006/relationships/hyperlink" Target="https://www.digikey.com/en/products/detail/diodes-incorporated/DMG1012TQ-7/6187255" TargetMode="External"/><Relationship Id="rId22" Type="http://schemas.openxmlformats.org/officeDocument/2006/relationships/hyperlink" Target="https://www.digikey.com/en/products/detail/central-semiconductor-corp/CMSH3-40MA-TR13-PBFREE/4897045?s=N4IgTCBcDaIMIFkDKAJAzAWgCwAYEEEACAFQCUBGNQgBQCEAxUgUSZAF0BfIA" TargetMode="External"/><Relationship Id="rId27" Type="http://schemas.openxmlformats.org/officeDocument/2006/relationships/hyperlink" Target="https://www.digikey.com/en/products/detail/panasonic-electronic-components/ERJ-2RKF5363X/192403?s=N4IgTCBcDaIKICUBSBaMCDSAxArAZgDY8ANEAXQF8g" TargetMode="External"/><Relationship Id="rId30" Type="http://schemas.openxmlformats.org/officeDocument/2006/relationships/hyperlink" Target="https://www.digikey.com/en/products/detail/vishay-dale/RCS0402300KFKED/5867965?s=N4IgTCBcDaIEoGEDKAGALCsBmFKDSAYngKIAiIAugL5A" TargetMode="External"/><Relationship Id="rId35" Type="http://schemas.openxmlformats.org/officeDocument/2006/relationships/hyperlink" Target="https://www.digikey.com/en/products/detail/LT3652EDD%2523PBF/LT3652EDD%2523PBF-ND/2138757?utm_campaign=buynow&amp;utm_medium=aggregator&amp;curr=usd&amp;utm_source=octopart" TargetMode="External"/><Relationship Id="rId43" Type="http://schemas.openxmlformats.org/officeDocument/2006/relationships/hyperlink" Target="https://www.digikey.com/en/products/detail/vishay-dale/CRCW040210K0JNEDC/7928380" TargetMode="External"/><Relationship Id="rId48" Type="http://schemas.openxmlformats.org/officeDocument/2006/relationships/hyperlink" Target="https://www.digikey.com/en/products/detail/raspberry-pi/CM3-32GB/9866296?src=raspberrypi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s://www.digikey.com/en/products/detail/panasonic-electronic-components/ERJ-PA2F1502X/5402657?s=N4IgTCBcDaIKICUBSBaACgQTAMQIwFYAGMADRAF0BfIA" TargetMode="External"/><Relationship Id="rId51" Type="http://schemas.openxmlformats.org/officeDocument/2006/relationships/hyperlink" Target="https://www.digikey.com/en/products/detail/tdk-corporation/C3216X5R1E226M160AB/2443478?s=N4IgTCBcDaIMIGYwEYBsANArAJWQUTDFQFk0AGAQQCEQBdAXyA" TargetMode="External"/><Relationship Id="rId3" Type="http://schemas.openxmlformats.org/officeDocument/2006/relationships/hyperlink" Target="https://www.digikey.com/en/products/detail/sunled/XZVG68W-2/4745975?s=N4IgTCBcDaIBoC0BqBxAbADgOoFoIF0BfIA" TargetMode="External"/><Relationship Id="rId12" Type="http://schemas.openxmlformats.org/officeDocument/2006/relationships/hyperlink" Target="https://www.digikey.com/en/products/detail/amphenol-icc-fci/10118192-0001LF/2785387?s=N4IgTCBcDaIIwAY5wBxwJxgLQN3AMgGIgC6AvkA" TargetMode="External"/><Relationship Id="rId17" Type="http://schemas.openxmlformats.org/officeDocument/2006/relationships/hyperlink" Target="https://www.digikey.com/en/products/detail/tdk-corporation/C3216X7R1H475K160AC/2792268?s=N4IgTCBcDaIMIGYwEYBsANA7AJWQCQBZMBWAaTQAYBBOEAXQF8g" TargetMode="External"/><Relationship Id="rId25" Type="http://schemas.openxmlformats.org/officeDocument/2006/relationships/hyperlink" Target="https://www.digikey.com/en/products/detail/vishay-dale/RCS0402301KFKED/5867966?s=N4IgTCBcDaIEoGEDKAGALCsBmFBGA0gGL4CiAIiALoC%2BQA" TargetMode="External"/><Relationship Id="rId33" Type="http://schemas.openxmlformats.org/officeDocument/2006/relationships/hyperlink" Target="https://www.digikey.com/en/products/detail/texas-instruments/LM60440AQRPKRQ1/12642251?s=N4IgTCBcDaIDIFkBsAGALGlBBAigJQAUBpPHARhAF0BfIA" TargetMode="External"/><Relationship Id="rId38" Type="http://schemas.openxmlformats.org/officeDocument/2006/relationships/hyperlink" Target="https://www.digikey.com/en/products/detail/w%C3%BCrth-elektronik/61300311121/4846825?s=N4IgTCBcDaIGwEYDMAGFSGbAkBdAvkA" TargetMode="External"/><Relationship Id="rId46" Type="http://schemas.openxmlformats.org/officeDocument/2006/relationships/hyperlink" Target="https://www.digikey.com/en/products/detail/jst-sales-america-inc/B3B-XH-A-LF-SN/1651046?s=N4IgTCBcDaIEIGY4FoAaAJZBBAFAGQDEBKHAZQDkiQBdAXyA" TargetMode="External"/><Relationship Id="rId20" Type="http://schemas.openxmlformats.org/officeDocument/2006/relationships/hyperlink" Target="https://www.digikey.com/en/products/detail/kemet/EXV477M025A9PAA/7319818?s=N4IgTCBcDaIKIA0BqAWA7GgsgBjAVgEEBOABQIJAF0BfIA" TargetMode="External"/><Relationship Id="rId41" Type="http://schemas.openxmlformats.org/officeDocument/2006/relationships/hyperlink" Target="https://www.digikey.com/en/products/detail/walsin-technology-corporation/0402N330J250CT/9354802" TargetMode="External"/><Relationship Id="rId54" Type="http://schemas.openxmlformats.org/officeDocument/2006/relationships/hyperlink" Target="https://www.uctronics.com/m40180h10.html" TargetMode="External"/><Relationship Id="rId1" Type="http://schemas.openxmlformats.org/officeDocument/2006/relationships/hyperlink" Target="https://www.digikey.com/en/products/detail/on-semiconductor/FSUSB42UMX/1642609" TargetMode="External"/><Relationship Id="rId6" Type="http://schemas.openxmlformats.org/officeDocument/2006/relationships/hyperlink" Target="https://www.digikey.com/en/products/detail/yageo/SR0402FR-7T100KL/9373087?s=N4IgTCBcDaIMoCUAMAWJYBiCC0B2AKgIxJIDSAMiALoC%2BQA" TargetMode="External"/><Relationship Id="rId15" Type="http://schemas.openxmlformats.org/officeDocument/2006/relationships/hyperlink" Target="https://www.digikey.com/en/products/detail/te-connectivity-amp-connectors/1827341-4/2135532" TargetMode="External"/><Relationship Id="rId23" Type="http://schemas.openxmlformats.org/officeDocument/2006/relationships/hyperlink" Target="https://www.digikey.com/en/products/detail/diodes-incorporated/S1A-13-F/749977" TargetMode="External"/><Relationship Id="rId28" Type="http://schemas.openxmlformats.org/officeDocument/2006/relationships/hyperlink" Target="https://www.digikey.com/en/products/detail/panasonic-electronic-components/ERJ-2RKF4533X/192369?s=N4IgTCBcDaIKICUBSBaMCDSAxALAVgGYCANEAXQF8g" TargetMode="External"/><Relationship Id="rId36" Type="http://schemas.openxmlformats.org/officeDocument/2006/relationships/hyperlink" Target="https://www.digikey.com/en/products/detail/yageo/RC0402JR-071ML/726409" TargetMode="External"/><Relationship Id="rId49" Type="http://schemas.openxmlformats.org/officeDocument/2006/relationships/hyperlink" Target="https://www.digikey.com/en/products/detail/quectel/EG25GGB-MINIPCIE/13278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topLeftCell="C1" zoomScale="86" zoomScaleNormal="85" workbookViewId="0">
      <selection activeCell="F9" sqref="F9"/>
    </sheetView>
  </sheetViews>
  <sheetFormatPr defaultRowHeight="14.4" x14ac:dyDescent="0.3"/>
  <cols>
    <col min="1" max="1" width="6.109375" style="14" bestFit="1" customWidth="1"/>
    <col min="2" max="2" width="14.44140625" customWidth="1"/>
    <col min="3" max="3" width="32.33203125" bestFit="1" customWidth="1"/>
    <col min="4" max="4" width="28.5546875" bestFit="1" customWidth="1"/>
    <col min="5" max="5" width="18.5546875" bestFit="1" customWidth="1"/>
    <col min="6" max="6" width="25.33203125" bestFit="1" customWidth="1"/>
    <col min="7" max="7" width="19.109375" bestFit="1" customWidth="1"/>
    <col min="8" max="8" width="18.6640625" bestFit="1" customWidth="1"/>
    <col min="9" max="9" width="6.109375" bestFit="1" customWidth="1"/>
    <col min="10" max="10" width="19.44140625" bestFit="1" customWidth="1"/>
    <col min="11" max="11" width="28" bestFit="1" customWidth="1"/>
    <col min="12" max="12" width="11.6640625" bestFit="1" customWidth="1"/>
    <col min="13" max="13" width="11.5546875" bestFit="1" customWidth="1"/>
    <col min="14" max="14" width="12.109375" bestFit="1" customWidth="1"/>
    <col min="15" max="15" width="48.33203125" bestFit="1" customWidth="1"/>
  </cols>
  <sheetData>
    <row r="1" spans="1:17" ht="16.2" thickBot="1" x14ac:dyDescent="0.35">
      <c r="A1" s="48" t="s">
        <v>302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</row>
    <row r="2" spans="1:17" ht="15" thickBot="1" x14ac:dyDescent="0.35">
      <c r="A2" s="1" t="s">
        <v>78</v>
      </c>
      <c r="B2" s="1" t="s">
        <v>79</v>
      </c>
      <c r="C2" s="1" t="s">
        <v>0</v>
      </c>
      <c r="D2" s="1" t="s">
        <v>1</v>
      </c>
      <c r="E2" s="1" t="s">
        <v>80</v>
      </c>
      <c r="F2" s="1" t="s">
        <v>3</v>
      </c>
      <c r="G2" s="1" t="s">
        <v>2</v>
      </c>
      <c r="H2" s="1" t="s">
        <v>81</v>
      </c>
      <c r="I2" s="1" t="s">
        <v>82</v>
      </c>
      <c r="J2" s="1" t="s">
        <v>83</v>
      </c>
      <c r="K2" s="1" t="s">
        <v>301</v>
      </c>
      <c r="L2" s="1" t="s">
        <v>84</v>
      </c>
      <c r="M2" s="1" t="s">
        <v>85</v>
      </c>
      <c r="N2" s="1" t="s">
        <v>86</v>
      </c>
      <c r="O2" s="1" t="s">
        <v>87</v>
      </c>
    </row>
    <row r="3" spans="1:17" ht="15" thickBot="1" x14ac:dyDescent="0.35">
      <c r="A3" s="24">
        <v>1</v>
      </c>
      <c r="B3" s="51" t="s">
        <v>88</v>
      </c>
      <c r="C3" s="58" t="s">
        <v>104</v>
      </c>
      <c r="D3" s="16" t="s">
        <v>105</v>
      </c>
      <c r="E3" s="3" t="s">
        <v>5</v>
      </c>
      <c r="F3" s="3" t="s">
        <v>6</v>
      </c>
      <c r="G3" s="3" t="s">
        <v>7</v>
      </c>
      <c r="H3" s="15" t="s">
        <v>108</v>
      </c>
      <c r="I3" s="3" t="s">
        <v>4</v>
      </c>
      <c r="J3" s="5">
        <v>6</v>
      </c>
      <c r="K3" s="59">
        <f>J3*1.1*1</f>
        <v>6.6000000000000005</v>
      </c>
      <c r="L3" s="6" t="s">
        <v>95</v>
      </c>
      <c r="M3" s="12">
        <v>0.12</v>
      </c>
      <c r="N3" s="12">
        <f>M3*J3</f>
        <v>0.72</v>
      </c>
      <c r="O3" s="4"/>
      <c r="P3" s="2"/>
      <c r="Q3" s="2"/>
    </row>
    <row r="4" spans="1:17" ht="15" thickBot="1" x14ac:dyDescent="0.35">
      <c r="A4" s="24">
        <v>2</v>
      </c>
      <c r="B4" s="52"/>
      <c r="C4" s="58" t="s">
        <v>9</v>
      </c>
      <c r="D4" s="27" t="s">
        <v>222</v>
      </c>
      <c r="E4" s="3" t="s">
        <v>10</v>
      </c>
      <c r="F4" s="3" t="s">
        <v>11</v>
      </c>
      <c r="G4" s="3" t="s">
        <v>7</v>
      </c>
      <c r="H4" s="15" t="s">
        <v>108</v>
      </c>
      <c r="I4" s="3" t="s">
        <v>8</v>
      </c>
      <c r="J4" s="5">
        <v>6</v>
      </c>
      <c r="K4" s="59">
        <f t="shared" ref="K4:K63" si="0">J4*1.1*1</f>
        <v>6.6000000000000005</v>
      </c>
      <c r="L4" s="6" t="s">
        <v>95</v>
      </c>
      <c r="M4" s="12">
        <v>1.0900000000000001</v>
      </c>
      <c r="N4" s="12">
        <f t="shared" ref="N4:N63" si="1">M4*J4</f>
        <v>6.5400000000000009</v>
      </c>
      <c r="O4" s="4"/>
      <c r="P4" s="2"/>
      <c r="Q4" s="2"/>
    </row>
    <row r="5" spans="1:17" ht="15" thickBot="1" x14ac:dyDescent="0.35">
      <c r="A5" s="24">
        <v>3</v>
      </c>
      <c r="B5" s="52"/>
      <c r="C5" s="58" t="s">
        <v>106</v>
      </c>
      <c r="D5" s="16" t="s">
        <v>220</v>
      </c>
      <c r="E5" s="3" t="s">
        <v>10</v>
      </c>
      <c r="F5" s="3" t="s">
        <v>107</v>
      </c>
      <c r="G5" s="3" t="s">
        <v>7</v>
      </c>
      <c r="H5" s="15" t="s">
        <v>108</v>
      </c>
      <c r="I5" s="3" t="s">
        <v>12</v>
      </c>
      <c r="J5" s="5">
        <v>5</v>
      </c>
      <c r="K5" s="59">
        <f t="shared" si="0"/>
        <v>5.5</v>
      </c>
      <c r="L5" s="6" t="s">
        <v>95</v>
      </c>
      <c r="M5" s="12">
        <v>0.76</v>
      </c>
      <c r="N5" s="12">
        <f t="shared" si="1"/>
        <v>3.8</v>
      </c>
      <c r="O5" s="4"/>
      <c r="P5" s="2"/>
      <c r="Q5" s="2"/>
    </row>
    <row r="6" spans="1:17" ht="15" thickBot="1" x14ac:dyDescent="0.35">
      <c r="A6" s="24">
        <v>4</v>
      </c>
      <c r="B6" s="52"/>
      <c r="C6" s="58" t="s">
        <v>109</v>
      </c>
      <c r="D6" s="16" t="s">
        <v>110</v>
      </c>
      <c r="E6" s="3" t="s">
        <v>10</v>
      </c>
      <c r="F6" s="3" t="s">
        <v>111</v>
      </c>
      <c r="G6" s="3" t="s">
        <v>112</v>
      </c>
      <c r="H6" s="15" t="s">
        <v>108</v>
      </c>
      <c r="I6" s="3" t="s">
        <v>116</v>
      </c>
      <c r="J6" s="5">
        <v>2</v>
      </c>
      <c r="K6" s="59">
        <f t="shared" si="0"/>
        <v>2.2000000000000002</v>
      </c>
      <c r="L6" s="6" t="s">
        <v>95</v>
      </c>
      <c r="M6" s="12">
        <v>0.56999999999999995</v>
      </c>
      <c r="N6" s="12">
        <f t="shared" si="1"/>
        <v>1.1399999999999999</v>
      </c>
      <c r="O6" s="4"/>
      <c r="P6" s="2"/>
      <c r="Q6" s="2"/>
    </row>
    <row r="7" spans="1:17" ht="15" thickBot="1" x14ac:dyDescent="0.35">
      <c r="A7" s="24">
        <v>5</v>
      </c>
      <c r="B7" s="52"/>
      <c r="C7" s="58" t="s">
        <v>113</v>
      </c>
      <c r="D7" s="27" t="s">
        <v>221</v>
      </c>
      <c r="E7" s="3" t="s">
        <v>5</v>
      </c>
      <c r="F7" s="3" t="s">
        <v>114</v>
      </c>
      <c r="G7" s="3" t="s">
        <v>115</v>
      </c>
      <c r="H7" s="15" t="s">
        <v>108</v>
      </c>
      <c r="I7" s="3" t="s">
        <v>117</v>
      </c>
      <c r="J7" s="5">
        <v>7</v>
      </c>
      <c r="K7" s="59">
        <f t="shared" si="0"/>
        <v>7.7000000000000011</v>
      </c>
      <c r="L7" s="6" t="s">
        <v>95</v>
      </c>
      <c r="M7" s="12">
        <v>0.27</v>
      </c>
      <c r="N7" s="12">
        <f t="shared" si="1"/>
        <v>1.8900000000000001</v>
      </c>
      <c r="O7" s="4"/>
      <c r="P7" s="2"/>
      <c r="Q7" s="2"/>
    </row>
    <row r="8" spans="1:17" ht="15" thickBot="1" x14ac:dyDescent="0.35">
      <c r="A8" s="24">
        <v>6</v>
      </c>
      <c r="B8" s="52"/>
      <c r="C8" s="58" t="s">
        <v>118</v>
      </c>
      <c r="D8" s="16" t="s">
        <v>119</v>
      </c>
      <c r="E8" s="3" t="s">
        <v>10</v>
      </c>
      <c r="F8" s="3" t="s">
        <v>120</v>
      </c>
      <c r="G8" s="3" t="s">
        <v>7</v>
      </c>
      <c r="H8" s="15"/>
      <c r="I8" s="3" t="s">
        <v>123</v>
      </c>
      <c r="J8" s="5">
        <v>1</v>
      </c>
      <c r="K8" s="59">
        <f t="shared" si="0"/>
        <v>1.1000000000000001</v>
      </c>
      <c r="L8" s="6" t="s">
        <v>282</v>
      </c>
      <c r="M8" s="12">
        <v>1.08</v>
      </c>
      <c r="N8" s="12">
        <f t="shared" si="1"/>
        <v>1.08</v>
      </c>
      <c r="O8" s="4"/>
      <c r="P8" s="2"/>
      <c r="Q8" s="2"/>
    </row>
    <row r="9" spans="1:17" ht="15" thickBot="1" x14ac:dyDescent="0.35">
      <c r="A9" s="24">
        <v>7</v>
      </c>
      <c r="B9" s="52"/>
      <c r="C9" s="58" t="s">
        <v>125</v>
      </c>
      <c r="D9" s="16" t="s">
        <v>126</v>
      </c>
      <c r="E9" s="3" t="s">
        <v>127</v>
      </c>
      <c r="F9" s="107" t="s">
        <v>128</v>
      </c>
      <c r="G9" s="3" t="s">
        <v>17</v>
      </c>
      <c r="H9" s="15" t="s">
        <v>258</v>
      </c>
      <c r="I9" s="3" t="s">
        <v>124</v>
      </c>
      <c r="J9" s="5">
        <v>2</v>
      </c>
      <c r="K9" s="59">
        <f t="shared" si="0"/>
        <v>2.2000000000000002</v>
      </c>
      <c r="L9" s="6" t="s">
        <v>95</v>
      </c>
      <c r="M9" s="12">
        <v>0.59</v>
      </c>
      <c r="N9" s="12">
        <f t="shared" si="1"/>
        <v>1.18</v>
      </c>
      <c r="O9" s="4"/>
      <c r="P9" s="2"/>
      <c r="Q9" s="2"/>
    </row>
    <row r="10" spans="1:17" ht="28.2" thickBot="1" x14ac:dyDescent="0.35">
      <c r="A10" s="24">
        <v>8</v>
      </c>
      <c r="B10" s="52"/>
      <c r="C10" s="58" t="s">
        <v>129</v>
      </c>
      <c r="D10" s="27" t="s">
        <v>223</v>
      </c>
      <c r="E10" s="3" t="s">
        <v>99</v>
      </c>
      <c r="F10" s="42" t="s">
        <v>290</v>
      </c>
      <c r="G10" s="44" t="s">
        <v>298</v>
      </c>
      <c r="H10" s="15" t="s">
        <v>130</v>
      </c>
      <c r="I10" s="3" t="s">
        <v>131</v>
      </c>
      <c r="J10" s="5">
        <v>3</v>
      </c>
      <c r="K10" s="59">
        <f t="shared" si="0"/>
        <v>3.3000000000000003</v>
      </c>
      <c r="L10" s="6" t="s">
        <v>95</v>
      </c>
      <c r="M10" s="12">
        <v>1.1100000000000001</v>
      </c>
      <c r="N10" s="12">
        <f t="shared" si="1"/>
        <v>3.33</v>
      </c>
      <c r="O10" s="4"/>
      <c r="P10" s="2"/>
      <c r="Q10" s="2"/>
    </row>
    <row r="11" spans="1:17" ht="28.2" thickBot="1" x14ac:dyDescent="0.35">
      <c r="A11" s="24">
        <v>9</v>
      </c>
      <c r="B11" s="52"/>
      <c r="C11" s="58" t="s">
        <v>121</v>
      </c>
      <c r="D11" s="16" t="s">
        <v>122</v>
      </c>
      <c r="E11" s="3" t="s">
        <v>99</v>
      </c>
      <c r="F11" s="3" t="s">
        <v>289</v>
      </c>
      <c r="G11" s="44" t="s">
        <v>298</v>
      </c>
      <c r="H11" s="15" t="s">
        <v>108</v>
      </c>
      <c r="I11" s="3" t="s">
        <v>124</v>
      </c>
      <c r="J11" s="5">
        <v>1</v>
      </c>
      <c r="K11" s="59">
        <f t="shared" si="0"/>
        <v>1.1000000000000001</v>
      </c>
      <c r="L11" s="6" t="s">
        <v>95</v>
      </c>
      <c r="M11" s="12">
        <v>0.49</v>
      </c>
      <c r="N11" s="12">
        <f t="shared" si="1"/>
        <v>0.49</v>
      </c>
      <c r="O11" s="4"/>
      <c r="P11" s="2"/>
      <c r="Q11" s="2"/>
    </row>
    <row r="12" spans="1:17" ht="15" thickBot="1" x14ac:dyDescent="0.35">
      <c r="A12" s="24">
        <v>10</v>
      </c>
      <c r="B12" s="53"/>
      <c r="C12" s="82" t="s">
        <v>14</v>
      </c>
      <c r="D12" s="23" t="s">
        <v>15</v>
      </c>
      <c r="E12" s="7" t="s">
        <v>5</v>
      </c>
      <c r="F12" s="7" t="s">
        <v>16</v>
      </c>
      <c r="G12" s="7" t="s">
        <v>17</v>
      </c>
      <c r="H12" s="21" t="s">
        <v>259</v>
      </c>
      <c r="I12" s="7" t="s">
        <v>13</v>
      </c>
      <c r="J12" s="9">
        <v>3</v>
      </c>
      <c r="K12" s="83">
        <f t="shared" si="0"/>
        <v>3.3000000000000003</v>
      </c>
      <c r="L12" s="10" t="s">
        <v>95</v>
      </c>
      <c r="M12" s="13">
        <v>0.1</v>
      </c>
      <c r="N12" s="13">
        <f t="shared" si="1"/>
        <v>0.30000000000000004</v>
      </c>
      <c r="O12" s="8"/>
      <c r="P12" s="2"/>
      <c r="Q12" s="2"/>
    </row>
    <row r="13" spans="1:17" ht="15" thickBot="1" x14ac:dyDescent="0.35">
      <c r="A13" s="24">
        <v>11</v>
      </c>
      <c r="B13" s="51" t="s">
        <v>89</v>
      </c>
      <c r="C13" s="76" t="s">
        <v>19</v>
      </c>
      <c r="D13" s="77" t="s">
        <v>224</v>
      </c>
      <c r="E13" s="40" t="s">
        <v>20</v>
      </c>
      <c r="F13" s="40" t="s">
        <v>18</v>
      </c>
      <c r="G13" s="40" t="s">
        <v>21</v>
      </c>
      <c r="H13" s="39" t="s">
        <v>130</v>
      </c>
      <c r="I13" s="40" t="s">
        <v>130</v>
      </c>
      <c r="J13" s="78">
        <v>4</v>
      </c>
      <c r="K13" s="79">
        <f t="shared" si="0"/>
        <v>4.4000000000000004</v>
      </c>
      <c r="L13" s="80" t="s">
        <v>95</v>
      </c>
      <c r="M13" s="41">
        <v>0.37</v>
      </c>
      <c r="N13" s="41">
        <f t="shared" si="1"/>
        <v>1.48</v>
      </c>
      <c r="O13" s="81"/>
      <c r="P13" s="2"/>
      <c r="Q13" s="2"/>
    </row>
    <row r="14" spans="1:17" ht="15" thickBot="1" x14ac:dyDescent="0.35">
      <c r="A14" s="24">
        <v>12</v>
      </c>
      <c r="B14" s="52"/>
      <c r="C14" s="58" t="s">
        <v>132</v>
      </c>
      <c r="D14" s="16" t="s">
        <v>133</v>
      </c>
      <c r="E14" s="3" t="s">
        <v>134</v>
      </c>
      <c r="F14" s="3" t="s">
        <v>135</v>
      </c>
      <c r="G14" s="3" t="s">
        <v>136</v>
      </c>
      <c r="H14" s="15" t="s">
        <v>130</v>
      </c>
      <c r="I14" s="3" t="s">
        <v>130</v>
      </c>
      <c r="J14" s="5">
        <v>2</v>
      </c>
      <c r="K14" s="59">
        <f t="shared" si="0"/>
        <v>2.2000000000000002</v>
      </c>
      <c r="L14" s="6" t="s">
        <v>95</v>
      </c>
      <c r="M14" s="12">
        <v>0.67</v>
      </c>
      <c r="N14" s="12">
        <f t="shared" si="1"/>
        <v>1.34</v>
      </c>
      <c r="O14" s="4"/>
      <c r="P14" s="2"/>
      <c r="Q14" s="2"/>
    </row>
    <row r="15" spans="1:17" ht="15" thickBot="1" x14ac:dyDescent="0.35">
      <c r="A15" s="24">
        <v>13</v>
      </c>
      <c r="B15" s="53"/>
      <c r="C15" s="82" t="s">
        <v>137</v>
      </c>
      <c r="D15" s="23" t="s">
        <v>138</v>
      </c>
      <c r="E15" s="7" t="s">
        <v>139</v>
      </c>
      <c r="F15" s="7" t="s">
        <v>140</v>
      </c>
      <c r="G15" s="7" t="s">
        <v>25</v>
      </c>
      <c r="H15" s="21" t="s">
        <v>130</v>
      </c>
      <c r="I15" s="7" t="s">
        <v>130</v>
      </c>
      <c r="J15" s="9">
        <v>1</v>
      </c>
      <c r="K15" s="83">
        <f t="shared" si="0"/>
        <v>1.1000000000000001</v>
      </c>
      <c r="L15" s="10" t="s">
        <v>95</v>
      </c>
      <c r="M15" s="13">
        <v>0.26</v>
      </c>
      <c r="N15" s="13">
        <f t="shared" si="1"/>
        <v>0.26</v>
      </c>
      <c r="O15" s="8"/>
      <c r="P15" s="2"/>
      <c r="Q15" s="2"/>
    </row>
    <row r="16" spans="1:17" ht="15" thickBot="1" x14ac:dyDescent="0.35">
      <c r="A16" s="24">
        <v>14</v>
      </c>
      <c r="B16" s="51" t="s">
        <v>188</v>
      </c>
      <c r="C16" s="84" t="s">
        <v>181</v>
      </c>
      <c r="D16" s="77" t="s">
        <v>182</v>
      </c>
      <c r="E16" s="85" t="s">
        <v>99</v>
      </c>
      <c r="F16" s="85" t="s">
        <v>183</v>
      </c>
      <c r="G16" s="85" t="s">
        <v>184</v>
      </c>
      <c r="H16" s="86" t="s">
        <v>178</v>
      </c>
      <c r="I16" s="85" t="s">
        <v>189</v>
      </c>
      <c r="J16" s="87">
        <v>1</v>
      </c>
      <c r="K16" s="79">
        <f t="shared" si="0"/>
        <v>1.1000000000000001</v>
      </c>
      <c r="L16" s="80" t="s">
        <v>95</v>
      </c>
      <c r="M16" s="88">
        <v>0.97</v>
      </c>
      <c r="N16" s="41">
        <f t="shared" si="1"/>
        <v>0.97</v>
      </c>
      <c r="O16" s="89"/>
      <c r="P16" s="2"/>
      <c r="Q16" s="2"/>
    </row>
    <row r="17" spans="1:17" ht="15" thickBot="1" x14ac:dyDescent="0.35">
      <c r="A17" s="24">
        <v>15</v>
      </c>
      <c r="B17" s="53"/>
      <c r="C17" s="90" t="s">
        <v>185</v>
      </c>
      <c r="D17" s="32" t="s">
        <v>186</v>
      </c>
      <c r="E17" s="18" t="s">
        <v>99</v>
      </c>
      <c r="F17" s="18" t="s">
        <v>187</v>
      </c>
      <c r="G17" s="18" t="s">
        <v>7</v>
      </c>
      <c r="H17" s="19" t="s">
        <v>178</v>
      </c>
      <c r="I17" s="18" t="s">
        <v>190</v>
      </c>
      <c r="J17" s="20">
        <v>1</v>
      </c>
      <c r="K17" s="83">
        <f t="shared" si="0"/>
        <v>1.1000000000000001</v>
      </c>
      <c r="L17" s="10" t="s">
        <v>95</v>
      </c>
      <c r="M17" s="22">
        <v>1.1000000000000001</v>
      </c>
      <c r="N17" s="13">
        <f t="shared" si="1"/>
        <v>1.1000000000000001</v>
      </c>
      <c r="O17" s="91"/>
      <c r="P17" s="2"/>
      <c r="Q17" s="2"/>
    </row>
    <row r="18" spans="1:17" ht="15" thickBot="1" x14ac:dyDescent="0.35">
      <c r="A18" s="24">
        <v>16</v>
      </c>
      <c r="B18" s="51" t="s">
        <v>177</v>
      </c>
      <c r="C18" s="76" t="s">
        <v>23</v>
      </c>
      <c r="D18" s="77" t="s">
        <v>225</v>
      </c>
      <c r="E18" s="40" t="s">
        <v>24</v>
      </c>
      <c r="F18" s="40" t="s">
        <v>22</v>
      </c>
      <c r="G18" s="40" t="s">
        <v>25</v>
      </c>
      <c r="H18" s="40" t="s">
        <v>97</v>
      </c>
      <c r="I18" s="40" t="s">
        <v>130</v>
      </c>
      <c r="J18" s="78">
        <v>3</v>
      </c>
      <c r="K18" s="79">
        <f t="shared" si="0"/>
        <v>3.3000000000000003</v>
      </c>
      <c r="L18" s="80" t="s">
        <v>95</v>
      </c>
      <c r="M18" s="41">
        <v>0.36</v>
      </c>
      <c r="N18" s="41">
        <f t="shared" si="1"/>
        <v>1.08</v>
      </c>
      <c r="O18" s="81"/>
      <c r="P18" s="2"/>
      <c r="Q18" s="2"/>
    </row>
    <row r="19" spans="1:17" ht="15" thickBot="1" x14ac:dyDescent="0.35">
      <c r="A19" s="24">
        <v>17</v>
      </c>
      <c r="B19" s="53"/>
      <c r="C19" s="82" t="s">
        <v>179</v>
      </c>
      <c r="D19" s="32" t="s">
        <v>226</v>
      </c>
      <c r="E19" s="7" t="s">
        <v>227</v>
      </c>
      <c r="F19" s="7" t="s">
        <v>180</v>
      </c>
      <c r="G19" s="7" t="s">
        <v>93</v>
      </c>
      <c r="H19" s="7" t="s">
        <v>108</v>
      </c>
      <c r="I19" s="7" t="s">
        <v>178</v>
      </c>
      <c r="J19" s="9">
        <v>2</v>
      </c>
      <c r="K19" s="83">
        <f t="shared" si="0"/>
        <v>2.2000000000000002</v>
      </c>
      <c r="L19" s="10" t="s">
        <v>95</v>
      </c>
      <c r="M19" s="13">
        <v>0.3</v>
      </c>
      <c r="N19" s="13">
        <f t="shared" si="1"/>
        <v>0.6</v>
      </c>
      <c r="O19" s="94"/>
      <c r="P19" s="2"/>
      <c r="Q19" s="2"/>
    </row>
    <row r="20" spans="1:17" ht="15" thickBot="1" x14ac:dyDescent="0.35">
      <c r="A20" s="24">
        <v>18</v>
      </c>
      <c r="B20" s="51" t="s">
        <v>90</v>
      </c>
      <c r="C20" s="76" t="s">
        <v>50</v>
      </c>
      <c r="D20" s="92" t="s">
        <v>51</v>
      </c>
      <c r="E20" s="40" t="s">
        <v>52</v>
      </c>
      <c r="F20" s="40" t="s">
        <v>53</v>
      </c>
      <c r="G20" s="40" t="s">
        <v>54</v>
      </c>
      <c r="H20" s="93"/>
      <c r="I20" s="40" t="s">
        <v>49</v>
      </c>
      <c r="J20" s="78">
        <v>3</v>
      </c>
      <c r="K20" s="79">
        <f t="shared" si="0"/>
        <v>3.3000000000000003</v>
      </c>
      <c r="L20" s="80" t="s">
        <v>95</v>
      </c>
      <c r="M20" s="41">
        <v>0.12</v>
      </c>
      <c r="N20" s="41">
        <f t="shared" si="1"/>
        <v>0.36</v>
      </c>
      <c r="O20" s="93"/>
      <c r="P20" s="2"/>
      <c r="Q20" s="2"/>
    </row>
    <row r="21" spans="1:17" ht="15" thickBot="1" x14ac:dyDescent="0.35">
      <c r="A21" s="24">
        <v>19</v>
      </c>
      <c r="B21" s="52"/>
      <c r="C21" s="58" t="s">
        <v>56</v>
      </c>
      <c r="D21" s="16" t="s">
        <v>57</v>
      </c>
      <c r="E21" s="3" t="s">
        <v>52</v>
      </c>
      <c r="F21" s="3" t="s">
        <v>58</v>
      </c>
      <c r="G21" s="3" t="s">
        <v>54</v>
      </c>
      <c r="H21" s="3" t="s">
        <v>130</v>
      </c>
      <c r="I21" s="3" t="s">
        <v>55</v>
      </c>
      <c r="J21" s="5">
        <v>4</v>
      </c>
      <c r="K21" s="59">
        <f t="shared" si="0"/>
        <v>4.4000000000000004</v>
      </c>
      <c r="L21" s="6" t="s">
        <v>95</v>
      </c>
      <c r="M21" s="12">
        <v>0.12</v>
      </c>
      <c r="N21" s="12">
        <f t="shared" si="1"/>
        <v>0.48</v>
      </c>
      <c r="O21" s="4"/>
      <c r="P21" s="2"/>
      <c r="Q21" s="2"/>
    </row>
    <row r="22" spans="1:17" ht="15" thickBot="1" x14ac:dyDescent="0.35">
      <c r="A22" s="24">
        <v>20</v>
      </c>
      <c r="B22" s="52"/>
      <c r="C22" s="58" t="s">
        <v>60</v>
      </c>
      <c r="D22" s="16" t="s">
        <v>143</v>
      </c>
      <c r="E22" s="3" t="s">
        <v>52</v>
      </c>
      <c r="F22" s="3" t="s">
        <v>61</v>
      </c>
      <c r="G22" s="3" t="s">
        <v>54</v>
      </c>
      <c r="H22" s="3" t="s">
        <v>130</v>
      </c>
      <c r="I22" s="3" t="s">
        <v>59</v>
      </c>
      <c r="J22" s="5">
        <v>3</v>
      </c>
      <c r="K22" s="59">
        <f t="shared" si="0"/>
        <v>3.3000000000000003</v>
      </c>
      <c r="L22" s="6" t="s">
        <v>95</v>
      </c>
      <c r="M22" s="12">
        <v>0.57999999999999996</v>
      </c>
      <c r="N22" s="12">
        <f t="shared" si="1"/>
        <v>1.7399999999999998</v>
      </c>
      <c r="O22" s="4"/>
      <c r="P22" s="2"/>
      <c r="Q22" s="2"/>
    </row>
    <row r="23" spans="1:17" ht="15" thickBot="1" x14ac:dyDescent="0.35">
      <c r="A23" s="24">
        <v>21</v>
      </c>
      <c r="B23" s="52"/>
      <c r="C23" s="58" t="s">
        <v>144</v>
      </c>
      <c r="D23" s="16" t="s">
        <v>145</v>
      </c>
      <c r="E23" s="3" t="s">
        <v>52</v>
      </c>
      <c r="F23" s="3" t="s">
        <v>146</v>
      </c>
      <c r="G23" s="3" t="s">
        <v>54</v>
      </c>
      <c r="H23" s="3" t="s">
        <v>130</v>
      </c>
      <c r="I23" s="3" t="s">
        <v>169</v>
      </c>
      <c r="J23" s="17">
        <v>1</v>
      </c>
      <c r="K23" s="59">
        <f t="shared" si="0"/>
        <v>1.1000000000000001</v>
      </c>
      <c r="L23" s="6" t="s">
        <v>95</v>
      </c>
      <c r="M23" s="12">
        <v>0.12</v>
      </c>
      <c r="N23" s="12">
        <f t="shared" si="1"/>
        <v>0.12</v>
      </c>
      <c r="O23" s="4"/>
      <c r="P23" s="2"/>
      <c r="Q23" s="2"/>
    </row>
    <row r="24" spans="1:17" ht="15" thickBot="1" x14ac:dyDescent="0.35">
      <c r="A24" s="24">
        <v>22</v>
      </c>
      <c r="B24" s="52"/>
      <c r="C24" s="58" t="s">
        <v>147</v>
      </c>
      <c r="D24" s="16" t="s">
        <v>148</v>
      </c>
      <c r="E24" s="3" t="s">
        <v>52</v>
      </c>
      <c r="F24" s="3" t="s">
        <v>149</v>
      </c>
      <c r="G24" s="3" t="s">
        <v>54</v>
      </c>
      <c r="H24" s="3" t="s">
        <v>130</v>
      </c>
      <c r="I24" s="3" t="s">
        <v>170</v>
      </c>
      <c r="J24" s="17">
        <v>1</v>
      </c>
      <c r="K24" s="59">
        <f t="shared" si="0"/>
        <v>1.1000000000000001</v>
      </c>
      <c r="L24" s="6" t="s">
        <v>95</v>
      </c>
      <c r="M24" s="12">
        <v>0.11</v>
      </c>
      <c r="N24" s="12">
        <f t="shared" si="1"/>
        <v>0.11</v>
      </c>
      <c r="O24" s="4"/>
      <c r="P24" s="2"/>
      <c r="Q24" s="2"/>
    </row>
    <row r="25" spans="1:17" ht="15" thickBot="1" x14ac:dyDescent="0.35">
      <c r="A25" s="24">
        <v>23</v>
      </c>
      <c r="B25" s="52"/>
      <c r="C25" s="58" t="s">
        <v>150</v>
      </c>
      <c r="D25" s="16" t="s">
        <v>151</v>
      </c>
      <c r="E25" s="3" t="s">
        <v>152</v>
      </c>
      <c r="F25" s="3" t="s">
        <v>153</v>
      </c>
      <c r="G25" s="3" t="s">
        <v>154</v>
      </c>
      <c r="H25" s="3" t="s">
        <v>130</v>
      </c>
      <c r="I25" s="3" t="s">
        <v>171</v>
      </c>
      <c r="J25" s="17">
        <v>1</v>
      </c>
      <c r="K25" s="59">
        <f t="shared" si="0"/>
        <v>1.1000000000000001</v>
      </c>
      <c r="L25" s="6" t="s">
        <v>95</v>
      </c>
      <c r="M25" s="12">
        <v>0.54</v>
      </c>
      <c r="N25" s="12">
        <f t="shared" si="1"/>
        <v>0.54</v>
      </c>
      <c r="O25" s="4"/>
      <c r="P25" s="2"/>
      <c r="Q25" s="2"/>
    </row>
    <row r="26" spans="1:17" ht="15" thickBot="1" x14ac:dyDescent="0.35">
      <c r="A26" s="24">
        <v>24</v>
      </c>
      <c r="B26" s="52"/>
      <c r="C26" s="58" t="s">
        <v>155</v>
      </c>
      <c r="D26" s="16" t="s">
        <v>156</v>
      </c>
      <c r="E26" s="3" t="s">
        <v>52</v>
      </c>
      <c r="F26" s="3" t="s">
        <v>157</v>
      </c>
      <c r="G26" s="3" t="s">
        <v>69</v>
      </c>
      <c r="H26" s="3" t="s">
        <v>130</v>
      </c>
      <c r="I26" s="3" t="s">
        <v>172</v>
      </c>
      <c r="J26" s="17">
        <v>1</v>
      </c>
      <c r="K26" s="59">
        <f t="shared" si="0"/>
        <v>1.1000000000000001</v>
      </c>
      <c r="L26" s="6" t="s">
        <v>95</v>
      </c>
      <c r="M26" s="12">
        <v>0.1</v>
      </c>
      <c r="N26" s="12">
        <f t="shared" si="1"/>
        <v>0.1</v>
      </c>
      <c r="O26" s="4"/>
      <c r="P26" s="2"/>
      <c r="Q26" s="2"/>
    </row>
    <row r="27" spans="1:17" ht="15" thickBot="1" x14ac:dyDescent="0.35">
      <c r="A27" s="24">
        <v>25</v>
      </c>
      <c r="B27" s="52"/>
      <c r="C27" s="58" t="s">
        <v>158</v>
      </c>
      <c r="D27" s="16" t="s">
        <v>159</v>
      </c>
      <c r="E27" s="3" t="s">
        <v>52</v>
      </c>
      <c r="F27" s="3" t="s">
        <v>160</v>
      </c>
      <c r="G27" s="3" t="s">
        <v>69</v>
      </c>
      <c r="H27" s="3" t="s">
        <v>130</v>
      </c>
      <c r="I27" s="3" t="s">
        <v>173</v>
      </c>
      <c r="J27" s="17">
        <v>1</v>
      </c>
      <c r="K27" s="59">
        <f t="shared" si="0"/>
        <v>1.1000000000000001</v>
      </c>
      <c r="L27" s="6" t="s">
        <v>95</v>
      </c>
      <c r="M27" s="12">
        <v>0.1</v>
      </c>
      <c r="N27" s="12">
        <f t="shared" si="1"/>
        <v>0.1</v>
      </c>
      <c r="O27" s="4"/>
      <c r="P27" s="2"/>
      <c r="Q27" s="2"/>
    </row>
    <row r="28" spans="1:17" ht="15" thickBot="1" x14ac:dyDescent="0.35">
      <c r="A28" s="24">
        <v>26</v>
      </c>
      <c r="B28" s="52"/>
      <c r="C28" s="58" t="s">
        <v>161</v>
      </c>
      <c r="D28" s="16" t="s">
        <v>162</v>
      </c>
      <c r="E28" s="3" t="s">
        <v>52</v>
      </c>
      <c r="F28" s="3" t="s">
        <v>163</v>
      </c>
      <c r="G28" s="3" t="s">
        <v>69</v>
      </c>
      <c r="H28" s="3" t="s">
        <v>130</v>
      </c>
      <c r="I28" s="3" t="s">
        <v>174</v>
      </c>
      <c r="J28" s="17">
        <v>4</v>
      </c>
      <c r="K28" s="59">
        <f t="shared" si="0"/>
        <v>4.4000000000000004</v>
      </c>
      <c r="L28" s="6" t="s">
        <v>95</v>
      </c>
      <c r="M28" s="12">
        <v>0.22</v>
      </c>
      <c r="N28" s="12">
        <f t="shared" si="1"/>
        <v>0.88</v>
      </c>
      <c r="O28" s="4"/>
      <c r="P28" s="2"/>
      <c r="Q28" s="2"/>
    </row>
    <row r="29" spans="1:17" ht="28.2" thickBot="1" x14ac:dyDescent="0.35">
      <c r="A29" s="24">
        <v>27</v>
      </c>
      <c r="B29" s="52"/>
      <c r="C29" s="62" t="s">
        <v>164</v>
      </c>
      <c r="D29" s="27" t="s">
        <v>228</v>
      </c>
      <c r="E29" s="3" t="s">
        <v>52</v>
      </c>
      <c r="F29" s="3" t="s">
        <v>165</v>
      </c>
      <c r="G29" s="3" t="s">
        <v>65</v>
      </c>
      <c r="H29" s="3" t="s">
        <v>260</v>
      </c>
      <c r="I29" s="3" t="s">
        <v>175</v>
      </c>
      <c r="J29" s="17">
        <v>10</v>
      </c>
      <c r="K29" s="59">
        <f t="shared" si="0"/>
        <v>11</v>
      </c>
      <c r="L29" s="6" t="s">
        <v>261</v>
      </c>
      <c r="M29" s="12">
        <v>2.3E-2</v>
      </c>
      <c r="N29" s="12">
        <f t="shared" si="1"/>
        <v>0.22999999999999998</v>
      </c>
      <c r="O29" s="4"/>
      <c r="P29" s="2"/>
      <c r="Q29" s="2"/>
    </row>
    <row r="30" spans="1:17" ht="15" thickBot="1" x14ac:dyDescent="0.35">
      <c r="A30" s="24">
        <v>28</v>
      </c>
      <c r="B30" s="52"/>
      <c r="C30" s="58" t="s">
        <v>166</v>
      </c>
      <c r="D30" s="16" t="s">
        <v>167</v>
      </c>
      <c r="E30" s="3" t="s">
        <v>52</v>
      </c>
      <c r="F30" s="3" t="s">
        <v>168</v>
      </c>
      <c r="G30" s="3" t="s">
        <v>54</v>
      </c>
      <c r="H30" s="3" t="s">
        <v>130</v>
      </c>
      <c r="I30" s="3" t="s">
        <v>176</v>
      </c>
      <c r="J30" s="17">
        <v>2</v>
      </c>
      <c r="K30" s="59">
        <f t="shared" si="0"/>
        <v>2.2000000000000002</v>
      </c>
      <c r="L30" s="6" t="s">
        <v>95</v>
      </c>
      <c r="M30" s="12">
        <v>0.12</v>
      </c>
      <c r="N30" s="12">
        <f t="shared" si="1"/>
        <v>0.24</v>
      </c>
      <c r="O30" s="4"/>
      <c r="P30" s="2"/>
      <c r="Q30" s="2"/>
    </row>
    <row r="31" spans="1:17" ht="15" thickBot="1" x14ac:dyDescent="0.35">
      <c r="A31" s="24">
        <v>29</v>
      </c>
      <c r="B31" s="52"/>
      <c r="C31" s="58" t="s">
        <v>63</v>
      </c>
      <c r="D31" s="16" t="s">
        <v>142</v>
      </c>
      <c r="E31" s="3" t="s">
        <v>52</v>
      </c>
      <c r="F31" s="3" t="s">
        <v>64</v>
      </c>
      <c r="G31" s="3" t="s">
        <v>65</v>
      </c>
      <c r="H31" s="3" t="s">
        <v>130</v>
      </c>
      <c r="I31" s="3" t="s">
        <v>62</v>
      </c>
      <c r="J31" s="5">
        <v>8</v>
      </c>
      <c r="K31" s="59">
        <f t="shared" si="0"/>
        <v>8.8000000000000007</v>
      </c>
      <c r="L31" s="6" t="s">
        <v>95</v>
      </c>
      <c r="M31" s="12">
        <v>0.57999999999999996</v>
      </c>
      <c r="N31" s="12">
        <f t="shared" si="1"/>
        <v>4.6399999999999997</v>
      </c>
      <c r="O31" s="4"/>
      <c r="P31" s="2"/>
      <c r="Q31" s="2"/>
    </row>
    <row r="32" spans="1:17" ht="15" thickBot="1" x14ac:dyDescent="0.35">
      <c r="A32" s="24">
        <v>30</v>
      </c>
      <c r="B32" s="52"/>
      <c r="C32" s="58" t="s">
        <v>67</v>
      </c>
      <c r="D32" s="27" t="s">
        <v>229</v>
      </c>
      <c r="E32" s="3" t="s">
        <v>52</v>
      </c>
      <c r="F32" s="3" t="s">
        <v>68</v>
      </c>
      <c r="G32" s="3" t="s">
        <v>69</v>
      </c>
      <c r="H32" s="3" t="s">
        <v>130</v>
      </c>
      <c r="I32" s="3" t="s">
        <v>66</v>
      </c>
      <c r="J32" s="5">
        <v>2</v>
      </c>
      <c r="K32" s="59">
        <f t="shared" si="0"/>
        <v>2.2000000000000002</v>
      </c>
      <c r="L32" s="6" t="s">
        <v>95</v>
      </c>
      <c r="M32" s="12">
        <v>0.22</v>
      </c>
      <c r="N32" s="12">
        <f t="shared" si="1"/>
        <v>0.44</v>
      </c>
      <c r="O32" s="4"/>
      <c r="P32" s="2"/>
      <c r="Q32" s="2"/>
    </row>
    <row r="33" spans="1:17" ht="15" thickBot="1" x14ac:dyDescent="0.35">
      <c r="A33" s="24">
        <v>31</v>
      </c>
      <c r="B33" s="52"/>
      <c r="C33" s="58" t="s">
        <v>71</v>
      </c>
      <c r="D33" s="16" t="s">
        <v>72</v>
      </c>
      <c r="E33" s="3" t="s">
        <v>52</v>
      </c>
      <c r="F33" s="3" t="s">
        <v>73</v>
      </c>
      <c r="G33" s="3" t="s">
        <v>69</v>
      </c>
      <c r="H33" s="3" t="s">
        <v>130</v>
      </c>
      <c r="I33" s="3" t="s">
        <v>70</v>
      </c>
      <c r="J33" s="5">
        <v>1</v>
      </c>
      <c r="K33" s="59">
        <f t="shared" si="0"/>
        <v>1.1000000000000001</v>
      </c>
      <c r="L33" s="6" t="s">
        <v>95</v>
      </c>
      <c r="M33" s="12">
        <v>0.22</v>
      </c>
      <c r="N33" s="12">
        <f t="shared" si="1"/>
        <v>0.22</v>
      </c>
      <c r="O33" s="4"/>
      <c r="P33" s="2"/>
      <c r="Q33" s="2"/>
    </row>
    <row r="34" spans="1:17" ht="15" thickBot="1" x14ac:dyDescent="0.35">
      <c r="A34" s="24">
        <v>32</v>
      </c>
      <c r="B34" s="52"/>
      <c r="C34" s="63" t="s">
        <v>262</v>
      </c>
      <c r="D34" s="27" t="s">
        <v>230</v>
      </c>
      <c r="E34" s="25" t="s">
        <v>231</v>
      </c>
      <c r="F34" s="25" t="s">
        <v>232</v>
      </c>
      <c r="G34" s="3" t="s">
        <v>65</v>
      </c>
      <c r="H34" s="3" t="s">
        <v>257</v>
      </c>
      <c r="I34" s="3" t="s">
        <v>256</v>
      </c>
      <c r="J34" s="5">
        <v>1</v>
      </c>
      <c r="K34" s="59">
        <f t="shared" si="0"/>
        <v>1.1000000000000001</v>
      </c>
      <c r="L34" s="6" t="s">
        <v>95</v>
      </c>
      <c r="M34" s="12">
        <v>0.1</v>
      </c>
      <c r="N34" s="12">
        <f t="shared" si="1"/>
        <v>0.1</v>
      </c>
      <c r="O34" s="4"/>
      <c r="P34" s="2"/>
      <c r="Q34" s="2"/>
    </row>
    <row r="35" spans="1:17" ht="15" thickBot="1" x14ac:dyDescent="0.35">
      <c r="A35" s="24">
        <v>33</v>
      </c>
      <c r="B35" s="53"/>
      <c r="C35" s="90" t="s">
        <v>233</v>
      </c>
      <c r="D35" s="32" t="s">
        <v>234</v>
      </c>
      <c r="E35" s="18" t="s">
        <v>52</v>
      </c>
      <c r="F35" s="18" t="s">
        <v>235</v>
      </c>
      <c r="G35" s="7" t="s">
        <v>65</v>
      </c>
      <c r="H35" s="7" t="s">
        <v>254</v>
      </c>
      <c r="I35" s="7" t="s">
        <v>255</v>
      </c>
      <c r="J35" s="9">
        <v>1</v>
      </c>
      <c r="K35" s="83">
        <f t="shared" si="0"/>
        <v>1.1000000000000001</v>
      </c>
      <c r="L35" s="10" t="s">
        <v>95</v>
      </c>
      <c r="M35" s="13">
        <v>0.1</v>
      </c>
      <c r="N35" s="13">
        <f t="shared" si="1"/>
        <v>0.1</v>
      </c>
      <c r="O35" s="8"/>
      <c r="P35" s="2"/>
      <c r="Q35" s="2"/>
    </row>
    <row r="36" spans="1:17" ht="15" thickBot="1" x14ac:dyDescent="0.35">
      <c r="A36" s="24">
        <v>34</v>
      </c>
      <c r="B36" s="51" t="s">
        <v>91</v>
      </c>
      <c r="C36" s="76" t="s">
        <v>191</v>
      </c>
      <c r="D36" s="92" t="s">
        <v>192</v>
      </c>
      <c r="E36" s="92" t="s">
        <v>208</v>
      </c>
      <c r="F36" s="92" t="s">
        <v>193</v>
      </c>
      <c r="G36" s="40" t="s">
        <v>194</v>
      </c>
      <c r="H36" s="40" t="s">
        <v>130</v>
      </c>
      <c r="I36" s="40" t="s">
        <v>130</v>
      </c>
      <c r="J36" s="78">
        <v>1</v>
      </c>
      <c r="K36" s="79">
        <f t="shared" si="0"/>
        <v>1.1000000000000001</v>
      </c>
      <c r="L36" s="80" t="s">
        <v>95</v>
      </c>
      <c r="M36" s="41">
        <v>2.85</v>
      </c>
      <c r="N36" s="41">
        <f t="shared" si="1"/>
        <v>2.85</v>
      </c>
      <c r="O36" s="93"/>
      <c r="P36" s="2"/>
      <c r="Q36" s="2"/>
    </row>
    <row r="37" spans="1:17" ht="15" thickBot="1" x14ac:dyDescent="0.35">
      <c r="A37" s="24">
        <v>35</v>
      </c>
      <c r="B37" s="52"/>
      <c r="C37" s="58" t="s">
        <v>195</v>
      </c>
      <c r="D37" s="16" t="s">
        <v>196</v>
      </c>
      <c r="E37" s="16" t="s">
        <v>209</v>
      </c>
      <c r="F37" s="16" t="s">
        <v>197</v>
      </c>
      <c r="G37" s="3" t="s">
        <v>198</v>
      </c>
      <c r="H37" s="3" t="s">
        <v>130</v>
      </c>
      <c r="I37" s="3" t="s">
        <v>130</v>
      </c>
      <c r="J37" s="5">
        <v>1</v>
      </c>
      <c r="K37" s="59">
        <f t="shared" si="0"/>
        <v>1.1000000000000001</v>
      </c>
      <c r="L37" s="34" t="s">
        <v>282</v>
      </c>
      <c r="M37" s="12">
        <v>3.68</v>
      </c>
      <c r="N37" s="12">
        <f t="shared" si="1"/>
        <v>3.68</v>
      </c>
      <c r="O37" s="4"/>
      <c r="P37" s="2"/>
      <c r="Q37" s="2"/>
    </row>
    <row r="38" spans="1:17" ht="15" thickBot="1" x14ac:dyDescent="0.35">
      <c r="A38" s="24">
        <v>36</v>
      </c>
      <c r="B38" s="52"/>
      <c r="C38" s="58" t="s">
        <v>199</v>
      </c>
      <c r="D38" s="16" t="s">
        <v>200</v>
      </c>
      <c r="E38" s="16" t="s">
        <v>210</v>
      </c>
      <c r="F38" s="16" t="s">
        <v>201</v>
      </c>
      <c r="G38" s="3" t="s">
        <v>93</v>
      </c>
      <c r="H38" s="3" t="s">
        <v>130</v>
      </c>
      <c r="I38" s="3" t="s">
        <v>130</v>
      </c>
      <c r="J38" s="5">
        <v>1</v>
      </c>
      <c r="K38" s="59">
        <f t="shared" si="0"/>
        <v>1.1000000000000001</v>
      </c>
      <c r="L38" s="6" t="s">
        <v>95</v>
      </c>
      <c r="M38" s="12">
        <v>0.43</v>
      </c>
      <c r="N38" s="12">
        <f t="shared" si="1"/>
        <v>0.43</v>
      </c>
      <c r="O38" s="4"/>
      <c r="P38" s="2"/>
      <c r="Q38" s="2"/>
    </row>
    <row r="39" spans="1:17" ht="15" thickBot="1" x14ac:dyDescent="0.35">
      <c r="A39" s="24">
        <v>37</v>
      </c>
      <c r="B39" s="52"/>
      <c r="C39" s="64" t="s">
        <v>212</v>
      </c>
      <c r="D39" s="16" t="s">
        <v>202</v>
      </c>
      <c r="E39" s="16" t="s">
        <v>213</v>
      </c>
      <c r="F39" s="16" t="s">
        <v>203</v>
      </c>
      <c r="G39" s="3" t="s">
        <v>211</v>
      </c>
      <c r="H39" s="3" t="s">
        <v>130</v>
      </c>
      <c r="I39" s="3" t="s">
        <v>130</v>
      </c>
      <c r="J39" s="5">
        <v>1</v>
      </c>
      <c r="K39" s="59">
        <f t="shared" si="0"/>
        <v>1.1000000000000001</v>
      </c>
      <c r="L39" s="6" t="s">
        <v>282</v>
      </c>
      <c r="M39" s="12">
        <v>3.7</v>
      </c>
      <c r="N39" s="12">
        <f t="shared" si="1"/>
        <v>3.7</v>
      </c>
      <c r="O39" s="60"/>
      <c r="P39" s="2"/>
      <c r="Q39" s="2"/>
    </row>
    <row r="40" spans="1:17" ht="15" thickBot="1" x14ac:dyDescent="0.35">
      <c r="A40" s="24">
        <v>38</v>
      </c>
      <c r="B40" s="52"/>
      <c r="C40" s="61" t="s">
        <v>239</v>
      </c>
      <c r="D40" s="27" t="s">
        <v>240</v>
      </c>
      <c r="E40" s="27" t="s">
        <v>242</v>
      </c>
      <c r="F40" s="27" t="s">
        <v>241</v>
      </c>
      <c r="G40" s="25" t="s">
        <v>194</v>
      </c>
      <c r="H40" s="3" t="s">
        <v>130</v>
      </c>
      <c r="I40" s="3" t="s">
        <v>130</v>
      </c>
      <c r="J40" s="5">
        <v>1</v>
      </c>
      <c r="K40" s="59">
        <f t="shared" si="0"/>
        <v>1.1000000000000001</v>
      </c>
      <c r="L40" s="6" t="s">
        <v>282</v>
      </c>
      <c r="M40" s="12">
        <v>5.62</v>
      </c>
      <c r="N40" s="12">
        <f t="shared" si="1"/>
        <v>5.62</v>
      </c>
      <c r="O40" s="4"/>
      <c r="P40" s="2"/>
      <c r="Q40" s="2"/>
    </row>
    <row r="41" spans="1:17" ht="15" thickBot="1" x14ac:dyDescent="0.35">
      <c r="A41" s="24">
        <v>39</v>
      </c>
      <c r="B41" s="52"/>
      <c r="C41" s="61" t="s">
        <v>236</v>
      </c>
      <c r="D41" s="27" t="s">
        <v>77</v>
      </c>
      <c r="E41" s="27" t="s">
        <v>237</v>
      </c>
      <c r="F41" s="27" t="s">
        <v>94</v>
      </c>
      <c r="G41" s="25" t="s">
        <v>93</v>
      </c>
      <c r="H41" s="3" t="s">
        <v>238</v>
      </c>
      <c r="I41" s="3" t="s">
        <v>130</v>
      </c>
      <c r="J41" s="5">
        <v>1</v>
      </c>
      <c r="K41" s="59">
        <f t="shared" si="0"/>
        <v>1.1000000000000001</v>
      </c>
      <c r="L41" s="6" t="s">
        <v>95</v>
      </c>
      <c r="M41" s="12">
        <v>0.6</v>
      </c>
      <c r="N41" s="12">
        <f t="shared" si="1"/>
        <v>0.6</v>
      </c>
      <c r="O41" s="60"/>
      <c r="P41" s="2"/>
      <c r="Q41" s="2"/>
    </row>
    <row r="42" spans="1:17" ht="15" thickBot="1" x14ac:dyDescent="0.35">
      <c r="A42" s="24">
        <v>40</v>
      </c>
      <c r="B42" s="52"/>
      <c r="C42" s="82" t="s">
        <v>204</v>
      </c>
      <c r="D42" s="23" t="s">
        <v>205</v>
      </c>
      <c r="E42" s="23" t="s">
        <v>214</v>
      </c>
      <c r="F42" s="23" t="s">
        <v>206</v>
      </c>
      <c r="G42" s="7" t="s">
        <v>207</v>
      </c>
      <c r="H42" s="7" t="s">
        <v>130</v>
      </c>
      <c r="I42" s="7" t="s">
        <v>130</v>
      </c>
      <c r="J42" s="9">
        <v>1</v>
      </c>
      <c r="K42" s="83">
        <f t="shared" si="0"/>
        <v>1.1000000000000001</v>
      </c>
      <c r="L42" s="10" t="s">
        <v>282</v>
      </c>
      <c r="M42" s="13">
        <v>1.08</v>
      </c>
      <c r="N42" s="13">
        <f t="shared" si="1"/>
        <v>1.08</v>
      </c>
      <c r="O42" s="8"/>
      <c r="P42" s="2"/>
      <c r="Q42" s="2"/>
    </row>
    <row r="43" spans="1:17" ht="15" thickBot="1" x14ac:dyDescent="0.35">
      <c r="A43" s="24">
        <v>42</v>
      </c>
      <c r="B43" s="51" t="s">
        <v>92</v>
      </c>
      <c r="C43" s="95" t="s">
        <v>244</v>
      </c>
      <c r="D43" s="77" t="s">
        <v>245</v>
      </c>
      <c r="E43" s="92" t="s">
        <v>99</v>
      </c>
      <c r="F43" s="77" t="s">
        <v>248</v>
      </c>
      <c r="G43" s="85" t="s">
        <v>48</v>
      </c>
      <c r="H43" s="40" t="s">
        <v>238</v>
      </c>
      <c r="I43" s="40" t="s">
        <v>178</v>
      </c>
      <c r="J43" s="78">
        <v>1</v>
      </c>
      <c r="K43" s="79">
        <f t="shared" si="0"/>
        <v>1.1000000000000001</v>
      </c>
      <c r="L43" s="80" t="s">
        <v>95</v>
      </c>
      <c r="M43" s="41">
        <v>0.13</v>
      </c>
      <c r="N43" s="41">
        <f t="shared" si="1"/>
        <v>0.13</v>
      </c>
      <c r="O43" s="93"/>
      <c r="P43" s="2"/>
      <c r="Q43" s="2"/>
    </row>
    <row r="44" spans="1:17" ht="15" thickBot="1" x14ac:dyDescent="0.35">
      <c r="A44" s="24">
        <v>43</v>
      </c>
      <c r="B44" s="52"/>
      <c r="C44" s="65" t="s">
        <v>246</v>
      </c>
      <c r="D44" s="27" t="s">
        <v>247</v>
      </c>
      <c r="E44" s="16" t="s">
        <v>99</v>
      </c>
      <c r="F44" s="27" t="s">
        <v>249</v>
      </c>
      <c r="G44" s="25" t="s">
        <v>48</v>
      </c>
      <c r="H44" s="3" t="s">
        <v>238</v>
      </c>
      <c r="I44" s="3" t="s">
        <v>250</v>
      </c>
      <c r="J44" s="5">
        <v>1</v>
      </c>
      <c r="K44" s="59">
        <f t="shared" si="0"/>
        <v>1.1000000000000001</v>
      </c>
      <c r="L44" s="6" t="s">
        <v>95</v>
      </c>
      <c r="M44" s="12">
        <v>0.13</v>
      </c>
      <c r="N44" s="12">
        <f t="shared" si="1"/>
        <v>0.13</v>
      </c>
      <c r="O44" s="4"/>
      <c r="P44" s="2"/>
      <c r="Q44" s="2"/>
    </row>
    <row r="45" spans="1:17" ht="15" thickBot="1" x14ac:dyDescent="0.35">
      <c r="A45" s="24">
        <v>44</v>
      </c>
      <c r="B45" s="52"/>
      <c r="C45" s="66" t="s">
        <v>27</v>
      </c>
      <c r="D45" s="16" t="s">
        <v>28</v>
      </c>
      <c r="E45" s="16" t="s">
        <v>99</v>
      </c>
      <c r="F45" s="16" t="s">
        <v>26</v>
      </c>
      <c r="G45" s="3" t="s">
        <v>29</v>
      </c>
      <c r="H45" s="3" t="s">
        <v>130</v>
      </c>
      <c r="I45" s="3" t="s">
        <v>130</v>
      </c>
      <c r="J45" s="5">
        <v>1</v>
      </c>
      <c r="K45" s="59">
        <f t="shared" si="0"/>
        <v>1.1000000000000001</v>
      </c>
      <c r="L45" s="11" t="s">
        <v>96</v>
      </c>
      <c r="M45" s="26">
        <v>4</v>
      </c>
      <c r="N45" s="12">
        <f t="shared" si="1"/>
        <v>4</v>
      </c>
      <c r="O45" s="4"/>
      <c r="P45" s="2"/>
      <c r="Q45" s="2"/>
    </row>
    <row r="46" spans="1:17" ht="15" thickBot="1" x14ac:dyDescent="0.35">
      <c r="A46" s="24">
        <v>45</v>
      </c>
      <c r="B46" s="52"/>
      <c r="C46" s="66" t="s">
        <v>31</v>
      </c>
      <c r="D46" s="16" t="s">
        <v>32</v>
      </c>
      <c r="E46" s="16" t="s">
        <v>99</v>
      </c>
      <c r="F46" s="16" t="s">
        <v>30</v>
      </c>
      <c r="G46" s="3" t="s">
        <v>33</v>
      </c>
      <c r="H46" s="3" t="s">
        <v>130</v>
      </c>
      <c r="I46" s="3" t="s">
        <v>130</v>
      </c>
      <c r="J46" s="5">
        <v>2</v>
      </c>
      <c r="K46" s="59">
        <f t="shared" si="0"/>
        <v>2.2000000000000002</v>
      </c>
      <c r="L46" s="11" t="s">
        <v>95</v>
      </c>
      <c r="M46" s="12">
        <v>0.46</v>
      </c>
      <c r="N46" s="12">
        <f t="shared" si="1"/>
        <v>0.92</v>
      </c>
      <c r="O46" s="4"/>
      <c r="P46" s="2"/>
      <c r="Q46" s="2"/>
    </row>
    <row r="47" spans="1:17" ht="15" thickBot="1" x14ac:dyDescent="0.35">
      <c r="A47" s="24">
        <v>46</v>
      </c>
      <c r="B47" s="52"/>
      <c r="C47" s="67" t="s">
        <v>35</v>
      </c>
      <c r="D47" s="45" t="s">
        <v>36</v>
      </c>
      <c r="E47" s="45" t="s">
        <v>99</v>
      </c>
      <c r="F47" s="45" t="s">
        <v>34</v>
      </c>
      <c r="G47" s="45" t="s">
        <v>37</v>
      </c>
      <c r="H47" s="45" t="s">
        <v>98</v>
      </c>
      <c r="I47" s="3" t="s">
        <v>130</v>
      </c>
      <c r="J47" s="5">
        <v>1</v>
      </c>
      <c r="K47" s="59">
        <f t="shared" si="0"/>
        <v>1.1000000000000001</v>
      </c>
      <c r="L47" s="11" t="s">
        <v>95</v>
      </c>
      <c r="M47" s="12">
        <v>9</v>
      </c>
      <c r="N47" s="12">
        <f t="shared" si="1"/>
        <v>9</v>
      </c>
      <c r="O47" s="68" t="s">
        <v>299</v>
      </c>
      <c r="P47" s="2"/>
      <c r="Q47" s="2"/>
    </row>
    <row r="48" spans="1:17" ht="15" thickBot="1" x14ac:dyDescent="0.35">
      <c r="A48" s="24">
        <v>47</v>
      </c>
      <c r="B48" s="52"/>
      <c r="C48" s="66" t="s">
        <v>39</v>
      </c>
      <c r="D48" s="16" t="s">
        <v>40</v>
      </c>
      <c r="E48" s="16" t="s">
        <v>99</v>
      </c>
      <c r="F48" s="16" t="s">
        <v>38</v>
      </c>
      <c r="G48" s="3" t="s">
        <v>141</v>
      </c>
      <c r="H48" s="15" t="s">
        <v>263</v>
      </c>
      <c r="I48" s="3" t="s">
        <v>130</v>
      </c>
      <c r="J48" s="5">
        <v>1</v>
      </c>
      <c r="K48" s="59">
        <f t="shared" si="0"/>
        <v>1.1000000000000001</v>
      </c>
      <c r="L48" s="11" t="s">
        <v>95</v>
      </c>
      <c r="M48" s="12">
        <v>1.32</v>
      </c>
      <c r="N48" s="12">
        <f t="shared" si="1"/>
        <v>1.32</v>
      </c>
      <c r="O48" s="4"/>
      <c r="P48" s="2"/>
      <c r="Q48" s="2"/>
    </row>
    <row r="49" spans="1:17" ht="15" thickBot="1" x14ac:dyDescent="0.35">
      <c r="A49" s="24">
        <v>48</v>
      </c>
      <c r="B49" s="52"/>
      <c r="C49" s="66" t="s">
        <v>42</v>
      </c>
      <c r="D49" s="16" t="s">
        <v>43</v>
      </c>
      <c r="E49" s="16" t="s">
        <v>99</v>
      </c>
      <c r="F49" s="16" t="s">
        <v>41</v>
      </c>
      <c r="G49" s="3" t="s">
        <v>44</v>
      </c>
      <c r="H49" s="15" t="s">
        <v>263</v>
      </c>
      <c r="I49" s="3" t="s">
        <v>130</v>
      </c>
      <c r="J49" s="5">
        <v>1</v>
      </c>
      <c r="K49" s="59">
        <f t="shared" si="0"/>
        <v>1.1000000000000001</v>
      </c>
      <c r="L49" s="11" t="s">
        <v>95</v>
      </c>
      <c r="M49" s="12">
        <v>0.44</v>
      </c>
      <c r="N49" s="12">
        <f t="shared" si="1"/>
        <v>0.44</v>
      </c>
      <c r="O49" s="4"/>
      <c r="P49" s="2"/>
      <c r="Q49" s="2"/>
    </row>
    <row r="50" spans="1:17" ht="15" thickBot="1" x14ac:dyDescent="0.35">
      <c r="A50" s="24">
        <v>49</v>
      </c>
      <c r="B50" s="52"/>
      <c r="C50" s="66" t="s">
        <v>46</v>
      </c>
      <c r="D50" s="16" t="s">
        <v>47</v>
      </c>
      <c r="E50" s="16" t="s">
        <v>99</v>
      </c>
      <c r="F50" s="16" t="s">
        <v>45</v>
      </c>
      <c r="G50" s="3" t="s">
        <v>48</v>
      </c>
      <c r="H50" s="15" t="s">
        <v>263</v>
      </c>
      <c r="I50" s="3" t="s">
        <v>130</v>
      </c>
      <c r="J50" s="5">
        <v>1</v>
      </c>
      <c r="K50" s="59">
        <f t="shared" si="0"/>
        <v>1.1000000000000001</v>
      </c>
      <c r="L50" s="11" t="s">
        <v>95</v>
      </c>
      <c r="M50" s="12">
        <v>0.99</v>
      </c>
      <c r="N50" s="12">
        <f t="shared" si="1"/>
        <v>0.99</v>
      </c>
      <c r="O50" s="4"/>
      <c r="P50" s="2"/>
      <c r="Q50" s="2"/>
    </row>
    <row r="51" spans="1:17" ht="42" thickBot="1" x14ac:dyDescent="0.35">
      <c r="A51" s="24">
        <v>50</v>
      </c>
      <c r="B51" s="52"/>
      <c r="C51" s="69" t="s">
        <v>295</v>
      </c>
      <c r="D51" s="27" t="s">
        <v>243</v>
      </c>
      <c r="E51" s="3" t="s">
        <v>99</v>
      </c>
      <c r="F51" s="43" t="s">
        <v>292</v>
      </c>
      <c r="G51" s="3" t="s">
        <v>296</v>
      </c>
      <c r="H51" s="15" t="s">
        <v>263</v>
      </c>
      <c r="I51" s="3" t="s">
        <v>130</v>
      </c>
      <c r="J51" s="5">
        <v>3</v>
      </c>
      <c r="K51" s="59">
        <f t="shared" si="0"/>
        <v>3.3000000000000003</v>
      </c>
      <c r="L51" s="11"/>
      <c r="M51" s="12">
        <v>0.16200000000000001</v>
      </c>
      <c r="N51" s="12">
        <f t="shared" si="1"/>
        <v>0.48599999999999999</v>
      </c>
      <c r="O51" s="4" t="s">
        <v>297</v>
      </c>
      <c r="P51" s="2"/>
      <c r="Q51" s="2"/>
    </row>
    <row r="52" spans="1:17" ht="15" thickBot="1" x14ac:dyDescent="0.35">
      <c r="A52" s="24">
        <v>51</v>
      </c>
      <c r="B52" s="52"/>
      <c r="C52" s="70" t="s">
        <v>294</v>
      </c>
      <c r="D52" s="16" t="s">
        <v>215</v>
      </c>
      <c r="E52" s="3" t="s">
        <v>99</v>
      </c>
      <c r="F52" s="3" t="s">
        <v>291</v>
      </c>
      <c r="G52" s="3" t="s">
        <v>293</v>
      </c>
      <c r="H52" s="15" t="s">
        <v>263</v>
      </c>
      <c r="I52" s="3" t="s">
        <v>130</v>
      </c>
      <c r="J52" s="5">
        <v>1</v>
      </c>
      <c r="K52" s="59">
        <f t="shared" si="0"/>
        <v>1.1000000000000001</v>
      </c>
      <c r="L52" s="11"/>
      <c r="M52" s="12">
        <v>1.8448</v>
      </c>
      <c r="N52" s="12">
        <f t="shared" si="1"/>
        <v>1.8448</v>
      </c>
      <c r="O52" s="4" t="s">
        <v>297</v>
      </c>
      <c r="P52" s="2"/>
      <c r="Q52" s="2"/>
    </row>
    <row r="53" spans="1:17" ht="15" thickBot="1" x14ac:dyDescent="0.35">
      <c r="A53" s="24">
        <v>52</v>
      </c>
      <c r="B53" s="52"/>
      <c r="C53" s="66" t="s">
        <v>216</v>
      </c>
      <c r="D53" s="16" t="s">
        <v>217</v>
      </c>
      <c r="E53" s="3" t="s">
        <v>99</v>
      </c>
      <c r="F53" s="3" t="s">
        <v>218</v>
      </c>
      <c r="G53" s="3" t="s">
        <v>219</v>
      </c>
      <c r="H53" s="15" t="s">
        <v>263</v>
      </c>
      <c r="I53" s="3" t="s">
        <v>130</v>
      </c>
      <c r="J53" s="5">
        <v>1</v>
      </c>
      <c r="K53" s="59">
        <f t="shared" si="0"/>
        <v>1.1000000000000001</v>
      </c>
      <c r="L53" s="11" t="s">
        <v>95</v>
      </c>
      <c r="M53" s="12">
        <v>0.19</v>
      </c>
      <c r="N53" s="12">
        <f t="shared" si="1"/>
        <v>0.19</v>
      </c>
      <c r="O53" s="60"/>
      <c r="P53" s="2"/>
      <c r="Q53" s="2"/>
    </row>
    <row r="54" spans="1:17" ht="69.599999999999994" thickBot="1" x14ac:dyDescent="0.35">
      <c r="A54" s="24">
        <v>53</v>
      </c>
      <c r="B54" s="52"/>
      <c r="C54" s="33" t="s">
        <v>251</v>
      </c>
      <c r="D54" s="28" t="s">
        <v>252</v>
      </c>
      <c r="E54" s="28" t="s">
        <v>99</v>
      </c>
      <c r="F54" s="29" t="s">
        <v>253</v>
      </c>
      <c r="G54" s="30" t="s">
        <v>100</v>
      </c>
      <c r="H54" s="30" t="s">
        <v>100</v>
      </c>
      <c r="I54" s="30" t="s">
        <v>178</v>
      </c>
      <c r="J54" s="31">
        <v>32</v>
      </c>
      <c r="K54" s="59">
        <f t="shared" si="0"/>
        <v>35.200000000000003</v>
      </c>
      <c r="L54" s="30" t="s">
        <v>100</v>
      </c>
      <c r="M54" s="30" t="s">
        <v>100</v>
      </c>
      <c r="N54" s="12" t="e">
        <f t="shared" si="1"/>
        <v>#VALUE!</v>
      </c>
      <c r="O54" s="71" t="s">
        <v>101</v>
      </c>
      <c r="P54" s="2"/>
      <c r="Q54" s="2"/>
    </row>
    <row r="55" spans="1:17" ht="15" thickBot="1" x14ac:dyDescent="0.35">
      <c r="A55" s="24">
        <v>54</v>
      </c>
      <c r="B55" s="52"/>
      <c r="C55" s="98" t="s">
        <v>75</v>
      </c>
      <c r="D55" s="99" t="s">
        <v>76</v>
      </c>
      <c r="E55" s="99" t="s">
        <v>99</v>
      </c>
      <c r="F55" s="100" t="s">
        <v>74</v>
      </c>
      <c r="G55" s="101" t="s">
        <v>100</v>
      </c>
      <c r="H55" s="101" t="s">
        <v>100</v>
      </c>
      <c r="I55" s="101" t="s">
        <v>250</v>
      </c>
      <c r="J55" s="102">
        <v>1</v>
      </c>
      <c r="K55" s="83">
        <f t="shared" si="0"/>
        <v>1.1000000000000001</v>
      </c>
      <c r="L55" s="101" t="s">
        <v>100</v>
      </c>
      <c r="M55" s="103" t="s">
        <v>100</v>
      </c>
      <c r="N55" s="13" t="e">
        <f t="shared" si="1"/>
        <v>#VALUE!</v>
      </c>
      <c r="O55" s="104" t="s">
        <v>101</v>
      </c>
      <c r="P55" s="2"/>
      <c r="Q55" s="2"/>
    </row>
    <row r="56" spans="1:17" ht="15.75" customHeight="1" thickBot="1" x14ac:dyDescent="0.35">
      <c r="A56" s="36">
        <v>55</v>
      </c>
      <c r="B56" s="54" t="s">
        <v>264</v>
      </c>
      <c r="C56" s="96" t="s">
        <v>268</v>
      </c>
      <c r="D56" s="39" t="s">
        <v>263</v>
      </c>
      <c r="E56" s="40" t="s">
        <v>99</v>
      </c>
      <c r="F56" s="40" t="s">
        <v>266</v>
      </c>
      <c r="G56" s="40" t="s">
        <v>265</v>
      </c>
      <c r="H56" s="39" t="s">
        <v>263</v>
      </c>
      <c r="I56" s="40" t="s">
        <v>130</v>
      </c>
      <c r="J56" s="78">
        <v>2</v>
      </c>
      <c r="K56" s="79">
        <f t="shared" si="0"/>
        <v>2.2000000000000002</v>
      </c>
      <c r="L56" s="97" t="s">
        <v>267</v>
      </c>
      <c r="M56" s="41">
        <v>23.99</v>
      </c>
      <c r="N56" s="41">
        <f t="shared" si="1"/>
        <v>47.98</v>
      </c>
      <c r="O56" s="93"/>
      <c r="P56" s="2"/>
      <c r="Q56" s="2"/>
    </row>
    <row r="57" spans="1:17" ht="15.75" customHeight="1" thickBot="1" x14ac:dyDescent="0.35">
      <c r="A57" s="36"/>
      <c r="B57" s="55"/>
      <c r="C57" s="66" t="s">
        <v>284</v>
      </c>
      <c r="D57" s="15" t="s">
        <v>286</v>
      </c>
      <c r="E57" s="3" t="s">
        <v>99</v>
      </c>
      <c r="F57" s="3" t="s">
        <v>287</v>
      </c>
      <c r="G57" s="3" t="s">
        <v>265</v>
      </c>
      <c r="H57" s="15" t="s">
        <v>263</v>
      </c>
      <c r="I57" s="3"/>
      <c r="J57" s="5">
        <v>2</v>
      </c>
      <c r="K57" s="59">
        <f t="shared" si="0"/>
        <v>2.2000000000000002</v>
      </c>
      <c r="L57" s="72" t="s">
        <v>288</v>
      </c>
      <c r="M57" s="12">
        <v>7.99</v>
      </c>
      <c r="N57" s="12">
        <f t="shared" si="1"/>
        <v>15.98</v>
      </c>
      <c r="O57" s="4"/>
      <c r="P57" s="2"/>
      <c r="Q57" s="2"/>
    </row>
    <row r="58" spans="1:17" ht="15.75" customHeight="1" thickBot="1" x14ac:dyDescent="0.35">
      <c r="A58" s="36"/>
      <c r="B58" s="55"/>
      <c r="C58" s="66" t="s">
        <v>285</v>
      </c>
      <c r="D58" s="15" t="s">
        <v>286</v>
      </c>
      <c r="E58" s="3" t="s">
        <v>99</v>
      </c>
      <c r="F58" s="3"/>
      <c r="G58" s="3"/>
      <c r="H58" s="15"/>
      <c r="I58" s="3"/>
      <c r="J58" s="5">
        <v>3</v>
      </c>
      <c r="K58" s="59">
        <f t="shared" si="0"/>
        <v>3.3000000000000003</v>
      </c>
      <c r="L58" s="72" t="s">
        <v>288</v>
      </c>
      <c r="M58" s="12">
        <v>3.3</v>
      </c>
      <c r="N58" s="12">
        <f t="shared" si="1"/>
        <v>9.8999999999999986</v>
      </c>
      <c r="O58" s="4"/>
      <c r="P58" s="2"/>
      <c r="Q58" s="2"/>
    </row>
    <row r="59" spans="1:17" ht="15" thickBot="1" x14ac:dyDescent="0.35">
      <c r="A59" s="36">
        <v>56</v>
      </c>
      <c r="B59" s="56"/>
      <c r="C59" s="66" t="s">
        <v>269</v>
      </c>
      <c r="D59" s="15" t="s">
        <v>263</v>
      </c>
      <c r="E59" s="3" t="s">
        <v>99</v>
      </c>
      <c r="F59" s="3" t="s">
        <v>270</v>
      </c>
      <c r="G59" s="15" t="s">
        <v>263</v>
      </c>
      <c r="H59" s="15" t="s">
        <v>263</v>
      </c>
      <c r="I59" s="3" t="s">
        <v>130</v>
      </c>
      <c r="J59" s="5">
        <v>1</v>
      </c>
      <c r="K59" s="59">
        <f t="shared" si="0"/>
        <v>1.1000000000000001</v>
      </c>
      <c r="L59" s="11"/>
      <c r="M59" s="12">
        <v>14</v>
      </c>
      <c r="N59" s="12">
        <f t="shared" si="1"/>
        <v>14</v>
      </c>
      <c r="O59" s="73"/>
      <c r="P59" s="2"/>
      <c r="Q59" s="2"/>
    </row>
    <row r="60" spans="1:17" ht="15" thickBot="1" x14ac:dyDescent="0.35">
      <c r="A60" s="36">
        <v>57</v>
      </c>
      <c r="B60" s="56"/>
      <c r="C60" s="66" t="s">
        <v>271</v>
      </c>
      <c r="D60" s="15" t="s">
        <v>263</v>
      </c>
      <c r="E60" s="3" t="s">
        <v>99</v>
      </c>
      <c r="F60" s="3" t="s">
        <v>272</v>
      </c>
      <c r="G60" s="15" t="s">
        <v>273</v>
      </c>
      <c r="H60" s="15" t="s">
        <v>263</v>
      </c>
      <c r="I60" s="3" t="s">
        <v>130</v>
      </c>
      <c r="J60" s="5">
        <v>1</v>
      </c>
      <c r="K60" s="59">
        <f t="shared" si="0"/>
        <v>1.1000000000000001</v>
      </c>
      <c r="L60" s="11" t="s">
        <v>95</v>
      </c>
      <c r="M60" s="12">
        <v>116.38</v>
      </c>
      <c r="N60" s="12">
        <f>M60*J60</f>
        <v>116.38</v>
      </c>
      <c r="O60" s="4"/>
      <c r="P60" s="2"/>
      <c r="Q60" s="2"/>
    </row>
    <row r="61" spans="1:17" ht="15" thickBot="1" x14ac:dyDescent="0.35">
      <c r="A61" s="36">
        <v>58</v>
      </c>
      <c r="B61" s="56"/>
      <c r="C61" s="74" t="s">
        <v>274</v>
      </c>
      <c r="D61" s="15" t="s">
        <v>263</v>
      </c>
      <c r="E61" s="38" t="s">
        <v>99</v>
      </c>
      <c r="F61" s="15" t="s">
        <v>275</v>
      </c>
      <c r="G61" s="15" t="s">
        <v>276</v>
      </c>
      <c r="H61" s="15" t="s">
        <v>263</v>
      </c>
      <c r="I61" s="3" t="s">
        <v>130</v>
      </c>
      <c r="J61" s="5">
        <v>1</v>
      </c>
      <c r="K61" s="59">
        <f t="shared" si="0"/>
        <v>1.1000000000000001</v>
      </c>
      <c r="L61" s="11" t="s">
        <v>95</v>
      </c>
      <c r="M61" s="12">
        <v>75</v>
      </c>
      <c r="N61" s="12">
        <f t="shared" si="1"/>
        <v>75</v>
      </c>
      <c r="O61" s="4"/>
    </row>
    <row r="62" spans="1:17" ht="15" thickBot="1" x14ac:dyDescent="0.35">
      <c r="A62" s="36">
        <v>59</v>
      </c>
      <c r="B62" s="56"/>
      <c r="C62" s="74" t="s">
        <v>277</v>
      </c>
      <c r="D62" s="15" t="s">
        <v>300</v>
      </c>
      <c r="E62" s="38" t="s">
        <v>99</v>
      </c>
      <c r="F62" s="15" t="s">
        <v>278</v>
      </c>
      <c r="G62" s="15" t="s">
        <v>279</v>
      </c>
      <c r="H62" s="15" t="s">
        <v>263</v>
      </c>
      <c r="I62" s="3" t="s">
        <v>130</v>
      </c>
      <c r="J62" s="5">
        <v>1</v>
      </c>
      <c r="K62" s="59">
        <f t="shared" si="0"/>
        <v>1.1000000000000001</v>
      </c>
      <c r="L62" s="11" t="s">
        <v>279</v>
      </c>
      <c r="M62" s="12">
        <v>10</v>
      </c>
      <c r="N62" s="12">
        <f t="shared" si="1"/>
        <v>10</v>
      </c>
      <c r="O62" s="75" t="s">
        <v>280</v>
      </c>
    </row>
    <row r="63" spans="1:17" ht="15" thickBot="1" x14ac:dyDescent="0.35">
      <c r="A63" s="37">
        <v>60</v>
      </c>
      <c r="B63" s="57"/>
      <c r="C63" s="105" t="s">
        <v>281</v>
      </c>
      <c r="D63" s="21" t="s">
        <v>263</v>
      </c>
      <c r="E63" s="20" t="s">
        <v>99</v>
      </c>
      <c r="F63" s="21" t="s">
        <v>263</v>
      </c>
      <c r="G63" s="21" t="s">
        <v>263</v>
      </c>
      <c r="H63" s="21" t="s">
        <v>263</v>
      </c>
      <c r="I63" s="7" t="s">
        <v>130</v>
      </c>
      <c r="J63" s="9">
        <v>2</v>
      </c>
      <c r="K63" s="83">
        <f t="shared" si="0"/>
        <v>2.2000000000000002</v>
      </c>
      <c r="L63" s="35"/>
      <c r="M63" s="13"/>
      <c r="N63" s="13">
        <f t="shared" si="1"/>
        <v>0</v>
      </c>
      <c r="O63" s="106" t="s">
        <v>283</v>
      </c>
    </row>
    <row r="64" spans="1:17" ht="18.600000000000001" thickBot="1" x14ac:dyDescent="0.4">
      <c r="K64" s="46" t="s">
        <v>102</v>
      </c>
      <c r="L64" s="46"/>
      <c r="M64" s="46"/>
      <c r="N64" s="46"/>
    </row>
    <row r="65" spans="11:14" ht="18" x14ac:dyDescent="0.35">
      <c r="K65" s="47" t="s">
        <v>103</v>
      </c>
      <c r="L65" s="47"/>
      <c r="M65" s="47"/>
      <c r="N65" s="47"/>
    </row>
  </sheetData>
  <mergeCells count="11">
    <mergeCell ref="K64:N64"/>
    <mergeCell ref="K65:N65"/>
    <mergeCell ref="B56:B63"/>
    <mergeCell ref="A1:O1"/>
    <mergeCell ref="B3:B12"/>
    <mergeCell ref="B18:B19"/>
    <mergeCell ref="B16:B17"/>
    <mergeCell ref="B36:B42"/>
    <mergeCell ref="B20:B35"/>
    <mergeCell ref="B13:B15"/>
    <mergeCell ref="B43:B55"/>
  </mergeCells>
  <conditionalFormatting sqref="J55:K5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5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{E5D9789D-0668-409F-A9A8-D36B7DB7D0CB}</x14:id>
        </ext>
      </extLst>
    </cfRule>
  </conditionalFormatting>
  <conditionalFormatting sqref="O41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{563AC52D-43C4-451A-AD5B-76615AABC113}</x14:id>
        </ext>
      </extLst>
    </cfRule>
  </conditionalFormatting>
  <conditionalFormatting sqref="O39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{D8672D6E-0B10-42FC-9A68-6BA20FE23C54}</x14:id>
        </ext>
      </extLst>
    </cfRule>
  </conditionalFormatting>
  <conditionalFormatting sqref="O18:O19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O13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J54:K5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:K5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4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{CBBD5200-C513-43B5-9081-DB549A9D856E}</x14:id>
        </ext>
      </extLst>
    </cfRule>
  </conditionalFormatting>
  <conditionalFormatting sqref="O53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{49C3BA22-C7EB-4B6C-92CB-670EFBDFC4F5}</x14:id>
        </ext>
      </extLst>
    </cfRule>
  </conditionalFormatting>
  <conditionalFormatting sqref="J59:K5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6:K5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0:K6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K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63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{9C11EB30-88AE-4AD0-B2DA-E34DBD9D8773}</x14:id>
        </ext>
      </extLst>
    </cfRule>
  </conditionalFormatting>
  <conditionalFormatting sqref="J55:K55 J3:K53 K4:K63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K63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L41" r:id="rId1" xr:uid="{00000000-0004-0000-0000-000000000000}"/>
    <hyperlink ref="L4" r:id="rId2" xr:uid="{00000000-0004-0000-0000-000001000000}"/>
    <hyperlink ref="L13" r:id="rId3" xr:uid="{00000000-0004-0000-0000-000002000000}"/>
    <hyperlink ref="L20" r:id="rId4" xr:uid="{00000000-0004-0000-0000-000003000000}"/>
    <hyperlink ref="L21" r:id="rId5" xr:uid="{00000000-0004-0000-0000-000004000000}"/>
    <hyperlink ref="L31" r:id="rId6" xr:uid="{00000000-0004-0000-0000-000005000000}"/>
    <hyperlink ref="L32" r:id="rId7" xr:uid="{00000000-0004-0000-0000-000006000000}"/>
    <hyperlink ref="L33" r:id="rId8" xr:uid="{00000000-0004-0000-0000-000007000000}"/>
    <hyperlink ref="L45" r:id="rId9" xr:uid="{00000000-0004-0000-0000-000008000000}"/>
    <hyperlink ref="L46" r:id="rId10" xr:uid="{00000000-0004-0000-0000-000009000000}"/>
    <hyperlink ref="L48" r:id="rId11" xr:uid="{00000000-0004-0000-0000-00000A000000}"/>
    <hyperlink ref="L49" r:id="rId12" xr:uid="{00000000-0004-0000-0000-00000B000000}"/>
    <hyperlink ref="L50" r:id="rId13" xr:uid="{00000000-0004-0000-0000-00000C000000}"/>
    <hyperlink ref="L18" r:id="rId14" xr:uid="{00000000-0004-0000-0000-00000D000000}"/>
    <hyperlink ref="L47" r:id="rId15" xr:uid="{00000000-0004-0000-0000-00000E000000}"/>
    <hyperlink ref="L3" r:id="rId16" xr:uid="{00000000-0004-0000-0000-00000F000000}"/>
    <hyperlink ref="L5" r:id="rId17" xr:uid="{00000000-0004-0000-0000-000010000000}"/>
    <hyperlink ref="L6" r:id="rId18" xr:uid="{00000000-0004-0000-0000-000011000000}"/>
    <hyperlink ref="L7" r:id="rId19" xr:uid="{00000000-0004-0000-0000-000012000000}"/>
    <hyperlink ref="L10" r:id="rId20" xr:uid="{00000000-0004-0000-0000-000013000000}"/>
    <hyperlink ref="L11" r:id="rId21" xr:uid="{00000000-0004-0000-0000-000014000000}"/>
    <hyperlink ref="L14" r:id="rId22" xr:uid="{00000000-0004-0000-0000-000015000000}"/>
    <hyperlink ref="L15" r:id="rId23" xr:uid="{00000000-0004-0000-0000-000016000000}"/>
    <hyperlink ref="L23" r:id="rId24" xr:uid="{00000000-0004-0000-0000-000017000000}"/>
    <hyperlink ref="L24" r:id="rId25" xr:uid="{00000000-0004-0000-0000-000018000000}"/>
    <hyperlink ref="L25" r:id="rId26" xr:uid="{00000000-0004-0000-0000-000019000000}"/>
    <hyperlink ref="L26" r:id="rId27" xr:uid="{00000000-0004-0000-0000-00001A000000}"/>
    <hyperlink ref="L27" r:id="rId28" xr:uid="{00000000-0004-0000-0000-00001B000000}"/>
    <hyperlink ref="L28" r:id="rId29" xr:uid="{00000000-0004-0000-0000-00001C000000}"/>
    <hyperlink ref="L30" r:id="rId30" xr:uid="{00000000-0004-0000-0000-00001D000000}"/>
    <hyperlink ref="L16" r:id="rId31" xr:uid="{00000000-0004-0000-0000-00001E000000}"/>
    <hyperlink ref="L17" r:id="rId32" xr:uid="{00000000-0004-0000-0000-00001F000000}"/>
    <hyperlink ref="L36" r:id="rId33" xr:uid="{00000000-0004-0000-0000-000020000000}"/>
    <hyperlink ref="L38" r:id="rId34" xr:uid="{00000000-0004-0000-0000-000021000000}"/>
    <hyperlink ref="L39" r:id="rId35" xr:uid="{00000000-0004-0000-0000-000022000000}"/>
    <hyperlink ref="L35" r:id="rId36" xr:uid="{00000000-0004-0000-0000-000023000000}"/>
    <hyperlink ref="L34" r:id="rId37" xr:uid="{00000000-0004-0000-0000-000024000000}"/>
    <hyperlink ref="L43" r:id="rId38" xr:uid="{00000000-0004-0000-0000-000025000000}"/>
    <hyperlink ref="L44" r:id="rId39" xr:uid="{00000000-0004-0000-0000-000026000000}"/>
    <hyperlink ref="L9" r:id="rId40" xr:uid="{00000000-0004-0000-0000-000027000000}"/>
    <hyperlink ref="L12" r:id="rId41" xr:uid="{00000000-0004-0000-0000-000028000000}"/>
    <hyperlink ref="L22" r:id="rId42" xr:uid="{00000000-0004-0000-0000-000029000000}"/>
    <hyperlink ref="L29" r:id="rId43" xr:uid="{00000000-0004-0000-0000-00002A000000}"/>
    <hyperlink ref="L40" r:id="rId44" display="Mouser" xr:uid="{00000000-0004-0000-0000-00002B000000}"/>
    <hyperlink ref="L19" r:id="rId45" xr:uid="{00000000-0004-0000-0000-00002C000000}"/>
    <hyperlink ref="L53" r:id="rId46" xr:uid="{00000000-0004-0000-0000-00002D000000}"/>
    <hyperlink ref="L56" r:id="rId47" xr:uid="{00000000-0004-0000-0000-00002E000000}"/>
    <hyperlink ref="L60" r:id="rId48" xr:uid="{00000000-0004-0000-0000-00002F000000}"/>
    <hyperlink ref="L61" r:id="rId49" xr:uid="{00000000-0004-0000-0000-000030000000}"/>
    <hyperlink ref="L62" r:id="rId50" xr:uid="{00000000-0004-0000-0000-000031000000}"/>
    <hyperlink ref="L8" r:id="rId51" xr:uid="{00000000-0004-0000-0000-000032000000}"/>
    <hyperlink ref="L37" r:id="rId52" xr:uid="{00000000-0004-0000-0000-000033000000}"/>
    <hyperlink ref="L42" r:id="rId53" xr:uid="{00000000-0004-0000-0000-000034000000}"/>
    <hyperlink ref="L57" r:id="rId54" xr:uid="{00000000-0004-0000-0000-000035000000}"/>
    <hyperlink ref="L58" r:id="rId55" xr:uid="{00000000-0004-0000-0000-000036000000}"/>
  </hyperlinks>
  <pageMargins left="0.7" right="0.7" top="0.75" bottom="0.75" header="0.3" footer="0.3"/>
  <pageSetup orientation="portrait" r:id="rId5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9789D-0668-409F-A9A8-D36B7DB7D0C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O55</xm:sqref>
        </x14:conditionalFormatting>
        <x14:conditionalFormatting xmlns:xm="http://schemas.microsoft.com/office/excel/2006/main">
          <x14:cfRule type="dataBar" id="{563AC52D-43C4-451A-AD5B-76615AABC1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  <x14:conditionalFormatting xmlns:xm="http://schemas.microsoft.com/office/excel/2006/main">
          <x14:cfRule type="dataBar" id="{D8672D6E-0B10-42FC-9A68-6BA20FE23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O18:O19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BBD5200-C513-43B5-9081-DB549A9D85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O54</xm:sqref>
        </x14:conditionalFormatting>
        <x14:conditionalFormatting xmlns:xm="http://schemas.microsoft.com/office/excel/2006/main">
          <x14:cfRule type="dataBar" id="{49C3BA22-C7EB-4B6C-92CB-670EFBDFC4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O53</xm:sqref>
        </x14:conditionalFormatting>
        <x14:conditionalFormatting xmlns:xm="http://schemas.microsoft.com/office/excel/2006/main">
          <x14:cfRule type="dataBar" id="{9C11EB30-88AE-4AD0-B2DA-E34DBD9D87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N3:N63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Faizan Ur Rahman</cp:lastModifiedBy>
  <dcterms:created xsi:type="dcterms:W3CDTF">2021-05-17T11:34:06Z</dcterms:created>
  <dcterms:modified xsi:type="dcterms:W3CDTF">2021-12-23T14:37:52Z</dcterms:modified>
</cp:coreProperties>
</file>