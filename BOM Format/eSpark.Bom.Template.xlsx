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Spark-Hardware\BOM Format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1" i="1" l="1"/>
  <c r="Q12" i="1" s="1"/>
  <c r="Q9" i="1"/>
  <c r="Q10" i="1"/>
  <c r="Q8" i="1"/>
  <c r="M9" i="1"/>
  <c r="M10" i="1"/>
  <c r="M8" i="1"/>
  <c r="B9" i="1"/>
  <c r="B10" i="1"/>
  <c r="B8" i="1"/>
</calcChain>
</file>

<file path=xl/sharedStrings.xml><?xml version="1.0" encoding="utf-8"?>
<sst xmlns="http://schemas.openxmlformats.org/spreadsheetml/2006/main" count="24" uniqueCount="24">
  <si>
    <t>Component list</t>
  </si>
  <si>
    <t>Field=Title</t>
  </si>
  <si>
    <t>Project:</t>
  </si>
  <si>
    <t>Field=ProjectFileName</t>
  </si>
  <si>
    <t>#</t>
  </si>
  <si>
    <t>Column=Description</t>
  </si>
  <si>
    <t>Column=Quantity</t>
  </si>
  <si>
    <t>Column=Designator</t>
  </si>
  <si>
    <t>Column=Footprint</t>
  </si>
  <si>
    <t>Column=Manufacturer Part Number</t>
  </si>
  <si>
    <t>Column=Manufacturer</t>
  </si>
  <si>
    <t>Column=Comment</t>
  </si>
  <si>
    <t>Column=Links</t>
  </si>
  <si>
    <t>Column=Remarks</t>
  </si>
  <si>
    <t>Column=Item Type</t>
  </si>
  <si>
    <t>Column=LCSC Part Number</t>
  </si>
  <si>
    <t>Column=Alternate Part Number</t>
  </si>
  <si>
    <t>Column=Reviewer Remarks</t>
  </si>
  <si>
    <t>Column=MOQ (5 Boards)</t>
  </si>
  <si>
    <t>Column=Quantity (5 Boards)</t>
  </si>
  <si>
    <t xml:space="preserve">Total Component Cost </t>
  </si>
  <si>
    <t>Single Board Cost</t>
  </si>
  <si>
    <t>Column=Unit Cost (5 Boards)</t>
  </si>
  <si>
    <t>Column=Total Cost (5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</si>
</sst>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165" fontId="16" fillId="2" borderId="13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0" fillId="3" borderId="8" xfId="0" applyFont="1" applyFill="1" applyBorder="1" applyAlignment="1">
      <alignment horizontal="left"/>
    </xf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4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4"/>
  <sheetViews>
    <sheetView tabSelected="1" topLeftCell="I1" workbookViewId="0">
      <selection activeCell="P28" sqref="P28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5"/>
      <c r="L1" s="45"/>
      <c r="M1" s="45"/>
      <c r="N1" s="45"/>
      <c r="O1" s="45"/>
      <c r="P1" s="45"/>
      <c r="Q1" s="45"/>
      <c r="R1" s="45"/>
      <c r="S1" s="46"/>
    </row>
    <row r="2" spans="1:19" ht="32.25" thickBot="1" x14ac:dyDescent="0.3">
      <c r="A2" s="1"/>
      <c r="B2" s="7"/>
      <c r="C2" s="13"/>
      <c r="D2" s="4" t="s">
        <v>0</v>
      </c>
      <c r="E2" s="4"/>
      <c r="F2" s="5" t="s">
        <v>1</v>
      </c>
      <c r="G2" s="5"/>
      <c r="H2" s="3"/>
      <c r="I2" s="37"/>
      <c r="J2" s="38"/>
      <c r="K2" s="38"/>
      <c r="L2" s="38"/>
      <c r="M2" s="38"/>
      <c r="N2" s="38"/>
      <c r="O2" s="38"/>
      <c r="P2" s="38"/>
      <c r="Q2" s="38"/>
      <c r="R2" s="38"/>
      <c r="S2" s="49"/>
    </row>
    <row r="3" spans="1:19" ht="16.5" thickBot="1" x14ac:dyDescent="0.3">
      <c r="A3" s="1"/>
      <c r="B3" s="8"/>
      <c r="C3" s="31"/>
      <c r="D3" s="52" t="s">
        <v>2</v>
      </c>
      <c r="E3" s="32"/>
      <c r="F3" s="34" t="s">
        <v>3</v>
      </c>
      <c r="G3" s="35"/>
      <c r="H3" s="36"/>
      <c r="I3" s="33"/>
      <c r="J3" s="29"/>
      <c r="K3" s="29"/>
      <c r="L3" s="29"/>
      <c r="M3" s="29"/>
      <c r="N3" s="29"/>
      <c r="O3" s="29"/>
      <c r="P3" s="29"/>
      <c r="Q3" s="29"/>
      <c r="R3" s="29"/>
      <c r="S3" s="50"/>
    </row>
    <row r="4" spans="1:19" x14ac:dyDescent="0.25">
      <c r="A4" s="1"/>
      <c r="B4" s="8"/>
      <c r="C4" s="31"/>
      <c r="D4" s="32"/>
      <c r="E4" s="32"/>
      <c r="F4" s="30"/>
      <c r="G4" s="33"/>
      <c r="H4" s="29"/>
      <c r="I4" s="33"/>
      <c r="J4" s="29"/>
      <c r="K4" s="29"/>
      <c r="L4" s="29"/>
      <c r="M4" s="29"/>
      <c r="N4" s="29"/>
      <c r="O4" s="29"/>
      <c r="P4" s="29"/>
      <c r="Q4" s="29"/>
      <c r="R4" s="29"/>
      <c r="S4" s="50"/>
    </row>
    <row r="5" spans="1:19" x14ac:dyDescent="0.25">
      <c r="A5" s="1"/>
      <c r="B5" s="9"/>
      <c r="C5" s="39"/>
      <c r="D5" s="40"/>
      <c r="E5" s="40"/>
      <c r="F5" s="30"/>
      <c r="G5" s="40"/>
      <c r="H5" s="41"/>
      <c r="I5" s="40"/>
      <c r="J5" s="41"/>
      <c r="K5" s="41"/>
      <c r="L5" s="41"/>
      <c r="M5" s="41"/>
      <c r="N5" s="41"/>
      <c r="O5" s="41"/>
      <c r="P5" s="41"/>
      <c r="Q5" s="41"/>
      <c r="R5" s="41"/>
      <c r="S5" s="50"/>
    </row>
    <row r="6" spans="1:19" ht="15.75" thickBot="1" x14ac:dyDescent="0.3">
      <c r="A6" s="1"/>
      <c r="B6" s="11"/>
      <c r="C6" s="42"/>
      <c r="D6" s="33"/>
      <c r="E6" s="33"/>
      <c r="F6" s="43"/>
      <c r="G6" s="40"/>
      <c r="H6" s="41"/>
      <c r="I6" s="40"/>
      <c r="J6" s="41"/>
      <c r="K6" s="41"/>
      <c r="L6" s="41"/>
      <c r="M6" s="41"/>
      <c r="N6" s="41"/>
      <c r="O6" s="41"/>
      <c r="P6" s="41"/>
      <c r="Q6" s="41"/>
      <c r="R6" s="41"/>
      <c r="S6" s="51"/>
    </row>
    <row r="7" spans="1:19" ht="15.75" thickBot="1" x14ac:dyDescent="0.3">
      <c r="A7" s="1"/>
      <c r="B7" s="12" t="s">
        <v>4</v>
      </c>
      <c r="C7" s="12" t="s">
        <v>14</v>
      </c>
      <c r="D7" s="12" t="s">
        <v>7</v>
      </c>
      <c r="E7" s="12" t="s">
        <v>5</v>
      </c>
      <c r="F7" s="12" t="s">
        <v>8</v>
      </c>
      <c r="G7" s="12" t="s">
        <v>9</v>
      </c>
      <c r="H7" s="12" t="s">
        <v>10</v>
      </c>
      <c r="I7" s="12" t="s">
        <v>16</v>
      </c>
      <c r="J7" s="12" t="s">
        <v>15</v>
      </c>
      <c r="K7" s="12" t="s">
        <v>11</v>
      </c>
      <c r="L7" s="12" t="s">
        <v>6</v>
      </c>
      <c r="M7" s="12" t="s">
        <v>19</v>
      </c>
      <c r="N7" s="12" t="s">
        <v>18</v>
      </c>
      <c r="O7" s="12" t="s">
        <v>12</v>
      </c>
      <c r="P7" s="12" t="s">
        <v>22</v>
      </c>
      <c r="Q7" s="12" t="s">
        <v>23</v>
      </c>
      <c r="R7" s="12" t="s">
        <v>13</v>
      </c>
      <c r="S7" s="12" t="s">
        <v>17</v>
      </c>
    </row>
    <row r="8" spans="1:19" x14ac:dyDescent="0.25">
      <c r="A8" s="1"/>
      <c r="B8" s="18">
        <f>ROW(B8) - ROW($B$7)</f>
        <v>1</v>
      </c>
      <c r="C8" s="26"/>
      <c r="D8" s="14"/>
      <c r="E8" s="14"/>
      <c r="F8" s="14"/>
      <c r="G8" s="14"/>
      <c r="H8" s="14"/>
      <c r="I8" s="14"/>
      <c r="J8" s="14"/>
      <c r="K8" s="14"/>
      <c r="L8" s="14"/>
      <c r="M8" s="14">
        <f>L8*5</f>
        <v>0</v>
      </c>
      <c r="N8" s="14"/>
      <c r="O8" s="14"/>
      <c r="P8" s="15"/>
      <c r="Q8" s="15">
        <f>P8*N8</f>
        <v>0</v>
      </c>
      <c r="R8" s="14"/>
      <c r="S8" s="23"/>
    </row>
    <row r="9" spans="1:19" x14ac:dyDescent="0.25">
      <c r="A9" s="1"/>
      <c r="B9" s="19">
        <f t="shared" ref="B9:B10" si="0">ROW(B9) - ROW($B$7)</f>
        <v>2</v>
      </c>
      <c r="C9" s="27"/>
      <c r="D9" s="24"/>
      <c r="E9" s="24"/>
      <c r="F9" s="24"/>
      <c r="G9" s="24"/>
      <c r="H9" s="24"/>
      <c r="I9" s="24"/>
      <c r="J9" s="24"/>
      <c r="K9" s="24"/>
      <c r="L9" s="24"/>
      <c r="M9" s="24">
        <f t="shared" ref="M9:M10" si="1">L9*5</f>
        <v>0</v>
      </c>
      <c r="N9" s="24"/>
      <c r="O9" s="24"/>
      <c r="P9" s="25"/>
      <c r="Q9" s="25">
        <f t="shared" ref="Q9:Q10" si="2">P9*N9</f>
        <v>0</v>
      </c>
      <c r="R9" s="24"/>
      <c r="S9" s="24"/>
    </row>
    <row r="10" spans="1:19" ht="15.75" thickBot="1" x14ac:dyDescent="0.3">
      <c r="A10" s="1"/>
      <c r="B10" s="20">
        <f t="shared" si="0"/>
        <v>3</v>
      </c>
      <c r="C10" s="28"/>
      <c r="D10" s="16"/>
      <c r="E10" s="16"/>
      <c r="F10" s="16"/>
      <c r="G10" s="16"/>
      <c r="H10" s="16"/>
      <c r="I10" s="16"/>
      <c r="J10" s="16"/>
      <c r="K10" s="16"/>
      <c r="L10" s="16"/>
      <c r="M10" s="16">
        <f t="shared" si="1"/>
        <v>0</v>
      </c>
      <c r="N10" s="16"/>
      <c r="O10" s="16"/>
      <c r="P10" s="17"/>
      <c r="Q10" s="17">
        <f t="shared" si="2"/>
        <v>0</v>
      </c>
      <c r="R10" s="16"/>
      <c r="S10" s="16"/>
    </row>
    <row r="11" spans="1:19" ht="19.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7" t="s">
        <v>20</v>
      </c>
      <c r="O11" s="48"/>
      <c r="P11" s="48"/>
      <c r="Q11" s="21" t="e">
        <f>SUM(#REF!)</f>
        <v>#REF!</v>
      </c>
      <c r="R11" s="1"/>
      <c r="S11" s="1"/>
    </row>
    <row r="12" spans="1:19" ht="19.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7" t="s">
        <v>21</v>
      </c>
      <c r="O12" s="48"/>
      <c r="P12" s="48"/>
      <c r="Q12" s="22" t="e">
        <f>Q11/5</f>
        <v>#REF!</v>
      </c>
      <c r="R12" s="1"/>
      <c r="S12" s="1"/>
    </row>
    <row r="24" spans="13:13" x14ac:dyDescent="0.25">
      <c r="M24" s="44"/>
    </row>
  </sheetData>
  <mergeCells count="4">
    <mergeCell ref="K1:S1"/>
    <mergeCell ref="N11:P11"/>
    <mergeCell ref="N12:P12"/>
    <mergeCell ref="S2:S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2024-04-24T09:20:54Z</dcterms:modified>
</cp:coreProperties>
</file>